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167c0c14d34f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 por fornecedor" sheetId="1" r:id="R6706b3ba508f4da4"/>
    <x:sheet xmlns:r="http://schemas.openxmlformats.org/officeDocument/2006/relationships" name="Lançamentos" sheetId="2" r:id="Rae326d020a774f0f"/>
    <x:sheet xmlns:r="http://schemas.openxmlformats.org/officeDocument/2006/relationships" name="Lançamentos por PI" sheetId="3" r:id="R661f99b1ca3742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dd/mm/yyyy"/>
    <x:numFmt numFmtId="201" formatCode="&quot;R$&quot; #,##0.00;[Red]-&quot;R$&quot; #,##0.00"/>
    <x:numFmt numFmtId="202" formatCode="&quot;R$&quot; #,##0.00"/>
    <x:numFmt numFmtId="203" formatCode="0"/>
    <x:numFmt numFmtId="204" formatCode="0.0%"/>
    <x:numFmt numFmtId="205" formatCode="&quot;R$&quot; #,##0"/>
    <x:numFmt numFmtId="206" formatCode="0.00%"/>
  </x:numFmts>
  <x:fonts count="10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color rgb="FF3B1D59"/>
      <x:name val="Carlito"/>
    </x:font>
    <x:font>
      <x:b/>
      <x:sz val="12"/>
      <x:color rgb="FF241332"/>
      <x:name val="Carlito"/>
    </x:font>
    <x:font>
      <x:sz val="9"/>
      <x:color rgb="FF6B6370"/>
      <x:name val="Carlito"/>
    </x:font>
    <x:font>
      <x:b/>
      <x:sz val="11"/>
      <x:color rgb="FF234D3E"/>
      <x:name val="Carlito"/>
    </x:font>
    <x:font>
      <x:b/>
      <x:sz val="11"/>
      <x:name val="Carlito"/>
    </x:font>
    <x:font>
      <x:b/>
      <x:sz val="11"/>
      <x:color rgb="FF1F5A24"/>
      <x:name val="Carlito"/>
    </x:font>
    <x:font>
      <x:i/>
      <x:sz val="11"/>
      <x:color rgb="FF6B520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6F2DBD"/>
      </x:patternFill>
    </x:fill>
    <x:fill>
      <x:patternFill patternType="solid">
        <x:fgColor rgb="FFEEE5F7"/>
      </x:patternFill>
    </x:fill>
    <x:fill>
      <x:patternFill patternType="solid">
        <x:fgColor rgb="FFFAF8FC"/>
      </x:patternFill>
    </x:fill>
    <x:fill>
      <x:patternFill patternType="solid">
        <x:fgColor rgb="FF2F6B55"/>
      </x:patternFill>
    </x:fill>
    <x:fill>
      <x:patternFill patternType="solid">
        <x:fgColor rgb="FFDCECE5"/>
      </x:patternFill>
    </x:fill>
    <x:fill>
      <x:patternFill patternType="solid">
        <x:fgColor rgb="FFD9EAD3"/>
      </x:patternFill>
    </x:fill>
    <x:fill>
      <x:patternFill patternType="solid">
        <x:fgColor rgb="FFFFF2CC"/>
      </x:patternFill>
    </x:fill>
  </x:fills>
  <x:borders count="5">
    <x:border/>
    <x:border>
      <x:left style="thin">
        <x:color rgb="FFE7E2ED"/>
      </x:left>
      <x:right style="thin">
        <x:color rgb="FFE7E2ED"/>
      </x:right>
      <x:top style="thin">
        <x:color rgb="FFE7E2ED"/>
      </x:top>
      <x:bottom style="thin">
        <x:color rgb="FFE7E2ED"/>
      </x:bottom>
    </x:border>
    <x:border>
      <x:left style="thin">
        <x:color rgb="FFD8C9E7"/>
      </x:left>
      <x:right style="thin">
        <x:color rgb="FFD8C9E7"/>
      </x:right>
      <x:top style="thin">
        <x:color rgb="FFD8C9E7"/>
      </x:top>
      <x:bottom style="thin">
        <x:color rgb="FFD8C9E7"/>
      </x:bottom>
    </x:border>
    <x:border>
      <x:left style="thin">
        <x:color rgb="FFD9E5DF"/>
      </x:left>
      <x:right style="thin">
        <x:color rgb="FFD9E5DF"/>
      </x:right>
      <x:top style="thin">
        <x:color rgb="FFD9E5DF"/>
      </x:top>
      <x:bottom style="thin">
        <x:color rgb="FFD9E5DF"/>
      </x:bottom>
    </x:border>
    <x:border>
      <x:left style="thin">
        <x:color rgb="FFAFCBBC"/>
      </x:left>
      <x:right style="thin">
        <x:color rgb="FFAFCBBC"/>
      </x:right>
      <x:top style="thin">
        <x:color rgb="FFAFCBBC"/>
      </x:top>
      <x:bottom style="thin">
        <x:color rgb="FFAFCBBC"/>
      </x:bottom>
    </x:border>
  </x:borders>
  <x:cellStyleXfs count="1">
    <x:xf numFmtId="0" fontId="0" fillId="0" borderId="0"/>
  </x:cellStyleXfs>
  <x:cellXfs count="58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/>
    <x:xf numFmtId="0" fontId="0" fillId="0" borderId="1" xfId="0" applyNumberFormat="1" applyFont="1" applyFill="1" applyBorder="1"/>
    <x:xf numFmtId="201" fontId="0" fillId="0" borderId="1" xfId="0" applyNumberFormat="1" applyFont="1" applyFill="1" applyBorder="1"/>
    <x:xf numFmtId="201" fontId="0" fillId="0" borderId="1" xfId="0" applyNumberFormat="1" applyFont="1" applyFill="1" applyBorder="1" applyAlignment="1">
      <x:alignment horizontal="right"/>
    </x:xf>
    <x:xf numFmtId="0" fontId="0" fillId="0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3" fillId="3" borderId="2" xfId="0" applyNumberFormat="1" applyFont="1" applyFill="1" applyBorder="1"/>
    <x:xf numFmtId="0" fontId="4" fillId="4" borderId="2" xfId="0" applyNumberFormat="1" applyFont="1" applyFill="1" applyBorder="1"/>
    <x:xf numFmtId="202" fontId="4" fillId="4" borderId="2" xfId="0" applyNumberFormat="1" applyFont="1" applyFill="1" applyBorder="1"/>
    <x:xf numFmtId="203" fontId="4" fillId="4" borderId="2" xfId="0" applyNumberFormat="1" applyFont="1" applyFill="1" applyBorder="1"/>
    <x:xf numFmtId="202" fontId="0" fillId="0" borderId="1" xfId="0" applyNumberFormat="1" applyFont="1" applyFill="1" applyBorder="1"/>
    <x:xf numFmtId="204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right"/>
    </x:xf>
    <x:xf numFmtId="202" fontId="0" fillId="0" borderId="1" xfId="0" applyNumberFormat="1" applyFont="1" applyFill="1" applyBorder="1" applyAlignment="1">
      <x:alignment horizontal="right"/>
    </x:xf>
    <x:xf numFmtId="204" fontId="0" fillId="0" borderId="1" xfId="0" applyNumberFormat="1" applyFont="1" applyFill="1" applyBorder="1" applyAlignment="1">
      <x:alignment horizontal="right"/>
    </x:xf>
    <x:xf numFmtId="0" fontId="5" fillId="0" borderId="0" xfId="0" applyNumberFormat="1" applyFont="1" applyFill="1" applyBorder="1"/>
    <x:xf numFmtId="205" fontId="5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2" fillId="5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/>
    <x:xf numFmtId="202" fontId="0" fillId="0" borderId="3" xfId="0" applyNumberFormat="1" applyFont="1" applyFill="1" applyBorder="1"/>
    <x:xf numFmtId="206" fontId="0" fillId="0" borderId="3" xfId="0" applyNumberFormat="1" applyFont="1" applyFill="1" applyBorder="1"/>
    <x:xf numFmtId="0" fontId="0" fillId="0" borderId="3" xfId="0" applyNumberFormat="1" applyFont="1" applyFill="1" applyBorder="1" applyAlignment="1">
      <x:alignment horizontal="center"/>
    </x:xf>
    <x:xf numFmtId="202" fontId="0" fillId="0" borderId="3" xfId="0" applyNumberFormat="1" applyFont="1" applyFill="1" applyBorder="1" applyAlignment="1">
      <x:alignment horizontal="right"/>
    </x:xf>
    <x:xf numFmtId="206" fontId="0" fillId="0" borderId="3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4" xfId="0" applyNumberFormat="1" applyFont="1" applyFill="1" applyBorder="1"/>
    <x:xf numFmtId="0" fontId="0" fillId="0" borderId="4" xfId="0" applyNumberFormat="1" applyFont="1" applyFill="1" applyBorder="1"/>
    <x:xf numFmtId="0" fontId="7" fillId="0" borderId="4" xfId="0" applyNumberFormat="1" applyFont="1" applyFill="1" applyBorder="1"/>
    <x:xf numFmtId="201" fontId="0" fillId="0" borderId="4" xfId="0" applyNumberFormat="1" applyFont="1" applyFill="1" applyBorder="1"/>
    <x:xf numFmtId="0" fontId="0" fillId="7" borderId="4" xfId="0" applyNumberFormat="1" applyFont="1" applyFill="1" applyBorder="1"/>
    <x:xf numFmtId="0" fontId="8" fillId="7" borderId="4" xfId="0" applyNumberFormat="1" applyFont="1" applyFill="1" applyBorder="1"/>
    <x:xf numFmtId="0" fontId="8" fillId="7" borderId="4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wrapText="1"/>
    </x:xf>
    <x:xf numFmtId="0" fontId="9" fillId="8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17eff0698946d1" /><Relationship Type="http://schemas.openxmlformats.org/officeDocument/2006/relationships/theme" Target="/xl/theme/theme1.xml" Id="R2d351541ba254311" /><Relationship Type="http://schemas.openxmlformats.org/officeDocument/2006/relationships/sharedStrings" Target="/xl/sharedStrings.xml" Id="R64b5994f71a549d7" /><Relationship Type="http://schemas.openxmlformats.org/officeDocument/2006/relationships/worksheet" Target="/xl/worksheets/sheet1.xml" Id="R6706b3ba508f4da4" /><Relationship Type="http://schemas.openxmlformats.org/officeDocument/2006/relationships/worksheet" Target="/xl/worksheets/sheet2.xml" Id="Rae326d020a774f0f" /><Relationship Type="http://schemas.openxmlformats.org/officeDocument/2006/relationships/worksheet" Target="/xl/worksheets/sheet3.xml" Id="R661f99b1ca37421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e068e3c623e439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Maiores fornecedores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autoTitleDeleted val="0"/>
    <c:plotArea>
      <c:layout/>
      <c:barChart>
        <c:barDir val="col"/>
        <c:varyColors val="0"/>
        <c:ser>
          <c:idx val="0"/>
          <c:order val="0"/>
          <c:tx>
            <c:v>Total (R$)</c:v>
          </c:tx>
          <c:cat>
            <c:strRef>
              <c:f>'Resumo por fornecedor'!$F$8:$F$17</c:f>
              <c:strCache>
                <c:ptCount val="0"/>
              </c:strCache>
            </c:strRef>
          </c:cat>
          <c:val>
            <c:numRef>
              <c:f>'Resumo por fornecedor'!$G$8:$G$17</c:f>
              <c:numCache>
                <c:formatCode>"R$" 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R$ 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</xdr:row>
      <xdr:rowOff>0</xdr:rowOff>
    </xdr:from>
    <xdr:to>
      <xdr:col>13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e068e3c623e439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ResumoFornecedores" displayName="ResumoFornecedores" ref="A8:E23" headerRowCount="1">
  <x:tableColumns count="5">
    <x:tableColumn id="1" name="Fornecedor unificado"/>
    <x:tableColumn id="2" name="Quantidade"/>
    <x:tableColumn id="3" name="Total (R$)"/>
    <x:tableColumn id="4" name="% da fatura"/>
    <x:tableColumn id="5" name="PI / regra"/>
  </x:tableColumns>
  <x:tableStyleInfo name="TableStyleMedium2" showRowStripes="1"/>
</x:table>
</file>

<file path=xl/tables/table2.xml><?xml version="1.0" encoding="utf-8"?>
<x:table xmlns:x="http://schemas.openxmlformats.org/spreadsheetml/2006/main" id="1" name="LancamentosNubank" displayName="LancamentosNubank" ref="A1:G35" headerRowCount="1">
  <x:tableColumns count="7">
    <x:tableColumn id="1" name="Data"/>
    <x:tableColumn id="2" name="Fornecedor original"/>
    <x:tableColumn id="3" name="Fornecedor unificado"/>
    <x:tableColumn id="4" name="Valor (R$)"/>
    <x:tableColumn id="5" name="PI / regra"/>
    <x:tableColumn id="6" name="Cartão final"/>
    <x:tableColumn id="7" name="Moeda / valor original"/>
  </x:tableColumns>
  <x:tableStyleInfo name="TableStyleMedium2" showRowStripes="1"/>
</x:table>
</file>

<file path=xl/tables/table3.xml><?xml version="1.0" encoding="utf-8"?>
<x:table xmlns:x="http://schemas.openxmlformats.org/spreadsheetml/2006/main" id="3" name="LancamentosPorPI" displayName="LancamentosPorPI" ref="A3:F23" headerRowCount="1">
  <x:tableColumns count="6">
    <x:tableColumn id="1" name="Fornecedor"/>
    <x:tableColumn id="2" name="Categoria"/>
    <x:tableColumn id="3" name="PI"/>
    <x:tableColumn id="4" name="Valor a lançar (R$)"/>
    <x:tableColumn id="5" name="Peso aplicado"/>
    <x:tableColumn id="6" name="Regra / origem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1254214eb514665" /><Relationship Type="http://schemas.openxmlformats.org/officeDocument/2006/relationships/table" Target="/xl/tables/table1.xml" Id="R4702b965d8c546b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f1d4c83fd26461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63bb4ff09d64f7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8" hidden="0" customWidth="1"/>
    <x:col min="3" max="3" width="19" hidden="0" customWidth="1"/>
    <x:col min="4" max="4" width="15" hidden="0" customWidth="1"/>
    <x:col min="5" max="5" width="17" hidden="0" customWidth="1"/>
  </x:cols>
  <x:sheetData>
    <x:row r="1" ht="38" customHeight="1">
      <x:c r="A1" s="13" t="str">
        <x:v>Gastos Nubank - Fatura de junho de 2026</x:v>
      </x:c>
      <x:c r="B1" s="13"/>
      <x:c r="C1" s="13"/>
      <x:c r="D1" s="13"/>
      <x:c r="E1" s="13"/>
    </x:row>
    <x:row r="3">
      <x:c r="A3" s="18" t="str">
        <x:v>Total da fatura</x:v>
      </x:c>
      <x:c r="B3" s="20" t="n">
        <x:f>ROUND(SUM('Lançamentos'!D2:D35),2)</x:f>
        <x:v>20922.66</x:v>
      </x:c>
    </x:row>
    <x:row r="4">
      <x:c r="A4" s="18" t="str">
        <x:v>Fornecedores unificados</x:v>
      </x:c>
      <x:c r="B4" s="21" t="n">
        <x:f>COUNTA(A9:A23)</x:f>
        <x:v>15</x:v>
      </x:c>
    </x:row>
    <x:row r="5">
      <x:c r="A5" s="18" t="str">
        <x:v>Lançamentos</x:v>
      </x:c>
      <x:c r="B5" s="21" t="n">
        <x:f>COUNTA('Lançamentos'!A2:A35)</x:f>
        <x:v>34</x:v>
      </x:c>
    </x:row>
    <x:row r="7">
      <x:c r="F7" s="27" t="str">
        <x:v>Fornecedor</x:v>
      </x:c>
      <x:c r="G7" s="27" t="str">
        <x:v>Total (R$)</x:v>
      </x:c>
    </x:row>
    <x:row r="8" ht="28" customHeight="1">
      <x:c r="A8" s="5" t="str">
        <x:v>Fornecedor unificado</x:v>
      </x:c>
      <x:c r="B8" s="5" t="str">
        <x:v>Quantidade</x:v>
      </x:c>
      <x:c r="C8" s="5" t="str">
        <x:v>Total (R$)</x:v>
      </x:c>
      <x:c r="D8" s="5" t="str">
        <x:v>% da fatura</x:v>
      </x:c>
      <x:c r="E8" s="5" t="str">
        <x:v>PI / regra</x:v>
      </x:c>
      <x:c r="F8" s="27" t="str">
        <x:v>Google Ads</x:v>
      </x:c>
      <x:c r="G8" s="28" t="n">
        <x:f>C9</x:f>
        <x:v>12282.06</x:v>
      </x:c>
    </x:row>
    <x:row r="9" ht="22" customHeight="1">
      <x:c r="A9" s="7" t="str">
        <x:v>Google Ads</x:v>
      </x:c>
      <x:c r="B9" s="24" t="n">
        <x:f>COUNTIF('Lançamentos'!$C$2:$C$35,A9)</x:f>
        <x:v>4</x:v>
      </x:c>
      <x:c r="C9" s="25" t="n">
        <x:f>ROUND(SUMIF('Lançamentos'!$C$2:$C$35,A9,'Lançamentos'!$D$2:$D$35),2)</x:f>
        <x:v>12282.06</x:v>
      </x:c>
      <x:c r="D9" s="26" t="n">
        <x:f>C9/$B$3</x:f>
        <x:v>0.5870219178632162</x:v>
      </x:c>
      <x:c r="E9" s="10" t="str">
        <x:v>Rateio</x:v>
      </x:c>
      <x:c r="F9" s="27" t="str">
        <x:v>Meta Ads</x:v>
      </x:c>
      <x:c r="G9" s="28" t="n">
        <x:f>C10</x:f>
        <x:v>2923.26</x:v>
      </x:c>
    </x:row>
    <x:row r="10" ht="22" customHeight="1">
      <x:c r="A10" s="7" t="str">
        <x:v>Meta Ads</x:v>
      </x:c>
      <x:c r="B10" s="24" t="n">
        <x:f>COUNTIF('Lançamentos'!$C$2:$C$35,A10)</x:f>
        <x:v>2</x:v>
      </x:c>
      <x:c r="C10" s="25" t="n">
        <x:f>ROUND(SUMIF('Lançamentos'!$C$2:$C$35,A10,'Lançamentos'!$D$2:$D$35),2)</x:f>
        <x:v>2923.26</x:v>
      </x:c>
      <x:c r="D10" s="26" t="n">
        <x:f>C10/$B$3</x:f>
        <x:v>0.1397174164279303</x:v>
      </x:c>
      <x:c r="E10" s="10" t="str">
        <x:v>Rateio</x:v>
      </x:c>
      <x:c r="F10" s="27" t="str">
        <x:v>Anthropic / Claude</x:v>
      </x:c>
      <x:c r="G10" s="28" t="n">
        <x:f>C11</x:f>
        <x:v>1180.16</x:v>
      </x:c>
    </x:row>
    <x:row r="11" ht="22" customHeight="1">
      <x:c r="A11" s="7" t="str">
        <x:v>Anthropic / Claude</x:v>
      </x:c>
      <x:c r="B11" s="24" t="n">
        <x:f>COUNTIF('Lançamentos'!$C$2:$C$35,A11)</x:f>
        <x:v>6</x:v>
      </x:c>
      <x:c r="C11" s="25" t="n">
        <x:f>ROUND(SUMIF('Lançamentos'!$C$2:$C$35,A11,'Lançamentos'!$D$2:$D$35),2)</x:f>
        <x:v>1180.16</x:v>
      </x:c>
      <x:c r="D11" s="26" t="n">
        <x:f>C11/$B$3</x:f>
        <x:v>0.05640582985146249</x:v>
      </x:c>
      <x:c r="E11" s="10" t="str">
        <x:v>167</x:v>
      </x:c>
      <x:c r="F11" s="27" t="str">
        <x:v>Lovable</x:v>
      </x:c>
      <x:c r="G11" s="28" t="n">
        <x:f>C12</x:f>
        <x:v>881.56</x:v>
      </x:c>
    </x:row>
    <x:row r="12" ht="22" customHeight="1">
      <x:c r="A12" s="7" t="str">
        <x:v>Lovable</x:v>
      </x:c>
      <x:c r="B12" s="24" t="n">
        <x:f>COUNTIF('Lançamentos'!$C$2:$C$35,A12)</x:f>
        <x:v>2</x:v>
      </x:c>
      <x:c r="C12" s="25" t="n">
        <x:f>ROUND(SUMIF('Lançamentos'!$C$2:$C$35,A12,'Lançamentos'!$D$2:$D$35),2)</x:f>
        <x:v>881.56</x:v>
      </x:c>
      <x:c r="D12" s="26" t="n">
        <x:f>C12/$B$3</x:f>
        <x:v>0.04213422193927541</x:v>
      </x:c>
      <x:c r="E12" s="10" t="str">
        <x:v>167</x:v>
      </x:c>
      <x:c r="F12" s="27" t="str">
        <x:v>Google Workspace</x:v>
      </x:c>
      <x:c r="G12" s="28" t="n">
        <x:f>C13</x:f>
        <x:v>807.47</x:v>
      </x:c>
    </x:row>
    <x:row r="13" ht="22" customHeight="1">
      <x:c r="A13" s="7" t="str">
        <x:v>Google Workspace</x:v>
      </x:c>
      <x:c r="B13" s="24" t="n">
        <x:f>COUNTIF('Lançamentos'!$C$2:$C$35,A13)</x:f>
        <x:v>1</x:v>
      </x:c>
      <x:c r="C13" s="25" t="n">
        <x:f>ROUND(SUMIF('Lançamentos'!$C$2:$C$35,A13,'Lançamentos'!$D$2:$D$35),2)</x:f>
        <x:v>807.47</x:v>
      </x:c>
      <x:c r="D13" s="26" t="n">
        <x:f>C13/$B$3</x:f>
        <x:v>0.03859308520044775</x:v>
      </x:c>
      <x:c r="E13" s="10" t="str">
        <x:v>167</x:v>
      </x:c>
      <x:c r="F13" s="27" t="str">
        <x:v>Chatwoot</x:v>
      </x:c>
      <x:c r="G13" s="28" t="n">
        <x:f>C14</x:f>
        <x:v>693.48</x:v>
      </x:c>
    </x:row>
    <x:row r="14" ht="22" customHeight="1">
      <x:c r="A14" s="7" t="str">
        <x:v>Chatwoot</x:v>
      </x:c>
      <x:c r="B14" s="24" t="n">
        <x:f>COUNTIF('Lançamentos'!$C$2:$C$35,A14)</x:f>
        <x:v>1</x:v>
      </x:c>
      <x:c r="C14" s="25" t="n">
        <x:f>ROUND(SUMIF('Lançamentos'!$C$2:$C$35,A14,'Lançamentos'!$D$2:$D$35),2)</x:f>
        <x:v>693.48</x:v>
      </x:c>
      <x:c r="D14" s="26" t="n">
        <x:f>C14/$B$3</x:f>
        <x:v>0.03314492516725885</x:v>
      </x:c>
      <x:c r="E14" s="10" t="str">
        <x:v>167</x:v>
      </x:c>
      <x:c r="F14" s="27" t="str">
        <x:v>Starlink</x:v>
      </x:c>
      <x:c r="G14" s="28" t="n">
        <x:f>C15</x:f>
        <x:v>587.23</x:v>
      </x:c>
    </x:row>
    <x:row r="15" ht="22" customHeight="1">
      <x:c r="A15" s="7" t="str">
        <x:v>Starlink</x:v>
      </x:c>
      <x:c r="B15" s="24" t="n">
        <x:f>COUNTIF('Lançamentos'!$C$2:$C$35,A15)</x:f>
        <x:v>2</x:v>
      </x:c>
      <x:c r="C15" s="25" t="n">
        <x:f>ROUND(SUMIF('Lançamentos'!$C$2:$C$35,A15,'Lançamentos'!$D$2:$D$35),2)</x:f>
        <x:v>587.23</x:v>
      </x:c>
      <x:c r="D15" s="26" t="n">
        <x:f>C15/$B$3</x:f>
        <x:v>0.02806669897613401</x:v>
      </x:c>
      <x:c r="E15" s="10" t="str">
        <x:v>167</x:v>
      </x:c>
      <x:c r="F15" s="27" t="str">
        <x:v>Apple</x:v>
      </x:c>
      <x:c r="G15" s="28" t="n">
        <x:f>C16</x:f>
        <x:v>567.29</x:v>
      </x:c>
    </x:row>
    <x:row r="16" ht="22" customHeight="1">
      <x:c r="A16" s="7" t="str">
        <x:v>Apple</x:v>
      </x:c>
      <x:c r="B16" s="24" t="n">
        <x:f>COUNTIF('Lançamentos'!$C$2:$C$35,A16)</x:f>
        <x:v>3</x:v>
      </x:c>
      <x:c r="C16" s="25" t="n">
        <x:f>ROUND(SUMIF('Lançamentos'!$C$2:$C$35,A16,'Lançamentos'!$D$2:$D$35),2)</x:f>
        <x:v>567.29</x:v>
      </x:c>
      <x:c r="D16" s="26" t="n">
        <x:f>C16/$B$3</x:f>
        <x:v>0.027113665279653733</x:v>
      </x:c>
      <x:c r="E16" s="10" t="str">
        <x:v>178</x:v>
      </x:c>
      <x:c r="F16" s="27" t="str">
        <x:v>Windsurf</x:v>
      </x:c>
      <x:c r="G16" s="28" t="n">
        <x:f>C17</x:f>
        <x:v>428.1</x:v>
      </x:c>
    </x:row>
    <x:row r="17" ht="22" customHeight="1">
      <x:c r="A17" s="7" t="str">
        <x:v>Windsurf</x:v>
      </x:c>
      <x:c r="B17" s="24" t="n">
        <x:f>COUNTIF('Lançamentos'!$C$2:$C$35,A17)</x:f>
        <x:v>4</x:v>
      </x:c>
      <x:c r="C17" s="25" t="n">
        <x:f>ROUND(SUMIF('Lançamentos'!$C$2:$C$35,A17,'Lançamentos'!$D$2:$D$35),2)</x:f>
        <x:v>428.1</x:v>
      </x:c>
      <x:c r="D17" s="26" t="n">
        <x:f>C17/$B$3</x:f>
        <x:v>0.020461069481605112</x:v>
      </x:c>
      <x:c r="E17" s="10" t="str">
        <x:v>167</x:v>
      </x:c>
      <x:c r="F17" s="27" t="str">
        <x:v>OpenAI / ChatGPT</x:v>
      </x:c>
      <x:c r="G17" s="28" t="n">
        <x:f>C18</x:f>
        <x:v>210.26</x:v>
      </x:c>
    </x:row>
    <x:row r="18" ht="22" customHeight="1">
      <x:c r="A18" s="7" t="str">
        <x:v>OpenAI / ChatGPT</x:v>
      </x:c>
      <x:c r="B18" s="24" t="n">
        <x:f>COUNTIF('Lançamentos'!$C$2:$C$35,A18)</x:f>
        <x:v>2</x:v>
      </x:c>
      <x:c r="C18" s="25" t="n">
        <x:f>ROUND(SUMIF('Lançamentos'!$C$2:$C$35,A18,'Lançamentos'!$D$2:$D$35),2)</x:f>
        <x:v>210.26</x:v>
      </x:c>
      <x:c r="D18" s="26" t="n">
        <x:f>C18/$B$3</x:f>
        <x:v>0.010049391425373255</x:v>
      </x:c>
      <x:c r="E18" s="10" t="str">
        <x:v>167</x:v>
      </x:c>
    </x:row>
    <x:row r="19" ht="22" customHeight="1">
      <x:c r="A19" s="7" t="str">
        <x:v>Contabo</x:v>
      </x:c>
      <x:c r="B19" s="24" t="n">
        <x:f>COUNTIF('Lançamentos'!$C$2:$C$35,A19)</x:f>
        <x:v>2</x:v>
      </x:c>
      <x:c r="C19" s="25" t="n">
        <x:f>ROUND(SUMIF('Lançamentos'!$C$2:$C$35,A19,'Lançamentos'!$D$2:$D$35),2)</x:f>
        <x:v>180.67</x:v>
      </x:c>
      <x:c r="D19" s="26" t="n">
        <x:f>C19/$B$3</x:f>
        <x:v>0.008635135303063758</x:v>
      </x:c>
      <x:c r="E19" s="10" t="str">
        <x:v>167</x:v>
      </x:c>
    </x:row>
    <x:row r="20" ht="22" customHeight="1">
      <x:c r="A20" s="7" t="str">
        <x:v>Twilio</x:v>
      </x:c>
      <x:c r="B20" s="24" t="n">
        <x:f>COUNTIF('Lançamentos'!$C$2:$C$35,A20)</x:f>
        <x:v>1</x:v>
      </x:c>
      <x:c r="C20" s="25" t="n">
        <x:f>ROUND(SUMIF('Lançamentos'!$C$2:$C$35,A20,'Lançamentos'!$D$2:$D$35),2)</x:f>
        <x:v>101.67</x:v>
      </x:c>
      <x:c r="D20" s="26" t="n">
        <x:f>C20/$B$3</x:f>
        <x:v>0.0048593247703685866</x:v>
      </x:c>
      <x:c r="E20" s="10" t="str">
        <x:v>167</x:v>
      </x:c>
    </x:row>
    <x:row r="21" ht="22" customHeight="1">
      <x:c r="A21" s="7" t="str">
        <x:v>Spotify</x:v>
      </x:c>
      <x:c r="B21" s="24" t="n">
        <x:f>COUNTIF('Lançamentos'!$C$2:$C$35,A21)</x:f>
        <x:v>2</x:v>
      </x:c>
      <x:c r="C21" s="25" t="n">
        <x:f>ROUND(SUMIF('Lançamentos'!$C$2:$C$35,A21,'Lançamentos'!$D$2:$D$35),2)</x:f>
        <x:v>47.8</x:v>
      </x:c>
      <x:c r="D21" s="26" t="n">
        <x:f>C21/$B$3</x:f>
        <x:v>0.0022846043476307505</x:v>
      </x:c>
      <x:c r="E21" s="10" t="str">
        <x:v>178</x:v>
      </x:c>
    </x:row>
    <x:row r="22" ht="22" customHeight="1">
      <x:c r="A22" s="7" t="str">
        <x:v>ElevenLabs</x:v>
      </x:c>
      <x:c r="B22" s="24" t="n">
        <x:f>COUNTIF('Lançamentos'!$C$2:$C$35,A22)</x:f>
        <x:v>1</x:v>
      </x:c>
      <x:c r="C22" s="25" t="n">
        <x:f>ROUND(SUMIF('Lançamentos'!$C$2:$C$35,A22,'Lançamentos'!$D$2:$D$35),2)</x:f>
        <x:v>26.21</x:v>
      </x:c>
      <x:c r="D22" s="26" t="n">
        <x:f>C22/$B$3</x:f>
        <x:v>0.0012527087855941836</x:v>
      </x:c>
      <x:c r="E22" s="10" t="str">
        <x:v>167</x:v>
      </x:c>
    </x:row>
    <x:row r="23" ht="22" customHeight="1">
      <x:c r="A23" s="7" t="str">
        <x:v>Uber</x:v>
      </x:c>
      <x:c r="B23" s="24" t="n">
        <x:f>COUNTIF('Lançamentos'!$C$2:$C$35,A23)</x:f>
        <x:v>1</x:v>
      </x:c>
      <x:c r="C23" s="25" t="n">
        <x:f>ROUND(SUMIF('Lançamentos'!$C$2:$C$35,A23,'Lançamentos'!$D$2:$D$35),2)</x:f>
        <x:v>5.44</x:v>
      </x:c>
      <x:c r="D23" s="26" t="n">
        <x:f>C23/$B$3</x:f>
        <x:v>0.0002600051809855917</x:v>
      </x:c>
      <x:c r="E23" s="10" t="str">
        <x:v>A confirmar</x:v>
      </x:c>
    </x:row>
    <x:row r="25">
      <x:c r="A25" s="18" t="str">
        <x:v>Critérios de unificação</x:v>
      </x:c>
      <x:c r="B25" s="18"/>
      <x:c r="C25" s="18"/>
      <x:c r="D25" s="18"/>
      <x:c r="E25" s="18"/>
    </x:row>
    <x:row r="26" ht="38" customHeight="1">
      <x:c r="A26" s="30" t="str">
        <x:v>Google Ads</x:v>
      </x:c>
      <x:c r="B26" s="32" t="str">
        <x:v>DL *Google Ads e Google Ads com identificadores foram agrupados.</x:v>
      </x:c>
      <x:c r="C26" s="32"/>
      <x:c r="D26" s="32"/>
      <x:c r="E26" s="32"/>
    </x:row>
    <x:row r="27" ht="38" customHeight="1">
      <x:c r="A27" s="30" t="str">
        <x:v>Outros grupos</x:v>
      </x:c>
      <x:c r="B27" s="32" t="str">
        <x:v>Facebk = Meta Ads; Apple.Com = Apple; Anthropic/Claude.Ai = Anthropic / Claude.</x:v>
      </x:c>
      <x:c r="C27" s="32"/>
      <x:c r="D27" s="32"/>
      <x:c r="E27" s="32"/>
    </x:row>
  </x:sheetData>
  <x:mergeCells>
    <x:mergeCell ref="A1:E1"/>
    <x:mergeCell ref="A25:E25"/>
    <x:mergeCell ref="B26:E26"/>
    <x:mergeCell ref="B27:E27"/>
  </x:mergeCells>
  <x:pageMargins left="0.7" right="0.7" top="0.75" bottom="0.75" header="0.3" footer="0.3"/>
  <x:drawing xmlns:r="http://schemas.openxmlformats.org/officeDocument/2006/relationships" r:id="R41254214eb514665"/>
  <x:tableParts count="1">
    <x:tablePart xmlns:r="http://schemas.openxmlformats.org/officeDocument/2006/relationships" r:id="R4702b965d8c546b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8" hidden="0" customWidth="1"/>
    <x:col min="3" max="3" width="23" hidden="0" customWidth="1"/>
    <x:col min="4" max="4" width="15" hidden="0" customWidth="1"/>
    <x:col min="5" max="5" width="16" hidden="0" customWidth="1"/>
    <x:col min="6" max="6" width="13" hidden="0" customWidth="1"/>
    <x:col min="7" max="7" width="30" hidden="0" customWidth="1"/>
  </x:cols>
  <x:sheetData>
    <x:row r="1" ht="28" customHeight="1">
      <x:c r="A1" s="5" t="str">
        <x:v>Data</x:v>
      </x:c>
      <x:c r="B1" s="5" t="str">
        <x:v>Fornecedor original</x:v>
      </x:c>
      <x:c r="C1" s="5" t="str">
        <x:v>Fornecedor unificado</x:v>
      </x:c>
      <x:c r="D1" s="5" t="str">
        <x:v>Valor (R$)</x:v>
      </x:c>
      <x:c r="E1" s="5" t="str">
        <x:v>PI / regra</x:v>
      </x:c>
      <x:c r="F1" s="5" t="str">
        <x:v>Cartão final</x:v>
      </x:c>
      <x:c r="G1" s="5" t="str">
        <x:v>Moeda / valor original</x:v>
      </x:c>
    </x:row>
    <x:row r="2" ht="21" customHeight="1">
      <x:c r="A2" s="6" t="n">
        <x:v>46155.5</x:v>
      </x:c>
      <x:c r="B2" s="7" t="str">
        <x:v>Anthropic</x:v>
      </x:c>
      <x:c r="C2" s="7" t="str">
        <x:v>Anthropic / Claude</x:v>
      </x:c>
      <x:c r="D2" s="9" t="n">
        <x:v>20.68</x:v>
      </x:c>
      <x:c r="E2" s="10" t="str">
        <x:v>167</x:v>
      </x:c>
      <x:c r="F2" s="10" t="str">
        <x:v>3869</x:v>
      </x:c>
      <x:c r="G2" s="7" t="str">
        <x:v>BRL 20,00 = USD 4,08</x:v>
      </x:c>
    </x:row>
    <x:row r="3" ht="21" customHeight="1">
      <x:c r="A3" s="6" t="n">
        <x:v>46156.5</x:v>
      </x:c>
      <x:c r="B3" s="7" t="str">
        <x:v>Claude.Ai Subscription</x:v>
      </x:c>
      <x:c r="C3" s="7" t="str">
        <x:v>Anthropic / Claude</x:v>
      </x:c>
      <x:c r="D3" s="9" t="n">
        <x:v>114.08</x:v>
      </x:c>
      <x:c r="E3" s="10" t="str">
        <x:v>167</x:v>
      </x:c>
      <x:c r="F3" s="10" t="str">
        <x:v>3869</x:v>
      </x:c>
      <x:c r="G3" s="7" t="str">
        <x:v>BRL 110,00 = USD 22,44</x:v>
      </x:c>
    </x:row>
    <x:row r="4" ht="21" customHeight="1">
      <x:c r="A4" s="6" t="n">
        <x:v>46156.5</x:v>
      </x:c>
      <x:c r="B4" s="7" t="str">
        <x:v>Lovable</x:v>
      </x:c>
      <x:c r="C4" s="7" t="str">
        <x:v>Lovable</x:v>
      </x:c>
      <x:c r="D4" s="9" t="n">
        <x:v>286.16</x:v>
      </x:c>
      <x:c r="E4" s="10" t="str">
        <x:v>167</x:v>
      </x:c>
      <x:c r="F4" s="10" t="str">
        <x:v>3869</x:v>
      </x:c>
      <x:c r="G4" s="7" t="str">
        <x:v>BRL 276,59 = USD 56,29</x:v>
      </x:c>
    </x:row>
    <x:row r="5" ht="21" customHeight="1">
      <x:c r="A5" s="6" t="n">
        <x:v>46158.5</x:v>
      </x:c>
      <x:c r="B5" s="7" t="str">
        <x:v>Anthropic</x:v>
      </x:c>
      <x:c r="C5" s="7" t="str">
        <x:v>Anthropic / Claude</x:v>
      </x:c>
      <x:c r="D5" s="9" t="n">
        <x:v>261.3</x:v>
      </x:c>
      <x:c r="E5" s="10" t="str">
        <x:v>167</x:v>
      </x:c>
      <x:c r="F5" s="10" t="str">
        <x:v>3869</x:v>
      </x:c>
      <x:c r="G5" s="7" t="str">
        <x:v>BRL 247,50 = USD 49,84</x:v>
      </x:c>
    </x:row>
    <x:row r="6" ht="21" customHeight="1">
      <x:c r="A6" s="6" t="n">
        <x:v>46158.5</x:v>
      </x:c>
      <x:c r="B6" s="7" t="str">
        <x:v>Twilio Inc</x:v>
      </x:c>
      <x:c r="C6" s="7" t="str">
        <x:v>Twilio</x:v>
      </x:c>
      <x:c r="D6" s="9" t="n">
        <x:v>101.67</x:v>
      </x:c>
      <x:c r="E6" s="10" t="str">
        <x:v>167</x:v>
      </x:c>
      <x:c r="F6" s="10" t="str">
        <x:v>3869</x:v>
      </x:c>
      <x:c r="G6" s="7" t="str">
        <x:v>USD 20,00</x:v>
      </x:c>
    </x:row>
    <x:row r="7" ht="21" customHeight="1">
      <x:c r="A7" s="6" t="n">
        <x:v>46159.5</x:v>
      </x:c>
      <x:c r="B7" s="7" t="str">
        <x:v>Elevenlabs.Io</x:v>
      </x:c>
      <x:c r="C7" s="7" t="str">
        <x:v>ElevenLabs</x:v>
      </x:c>
      <x:c r="D7" s="9" t="n">
        <x:v>26.21</x:v>
      </x:c>
      <x:c r="E7" s="10" t="str">
        <x:v>167</x:v>
      </x:c>
      <x:c r="F7" s="10" t="str">
        <x:v>3869</x:v>
      </x:c>
      <x:c r="G7" s="7" t="str">
        <x:v>USD 5,00</x:v>
      </x:c>
    </x:row>
    <x:row r="8" ht="21" customHeight="1">
      <x:c r="A8" s="6" t="n">
        <x:v>46161.5</x:v>
      </x:c>
      <x:c r="B8" s="7" t="str">
        <x:v>Anthropic: Claude Team</x:v>
      </x:c>
      <x:c r="C8" s="7" t="str">
        <x:v>Anthropic / Claude</x:v>
      </x:c>
      <x:c r="D8" s="9" t="n">
        <x:v>680.79</x:v>
      </x:c>
      <x:c r="E8" s="10" t="str">
        <x:v>167</x:v>
      </x:c>
      <x:c r="F8" s="10" t="str">
        <x:v>3869</x:v>
      </x:c>
      <x:c r="G8" s="7" t="str">
        <x:v>BRL 660,20 = USD 131,31</x:v>
      </x:c>
    </x:row>
    <x:row r="9" ht="21" customHeight="1">
      <x:c r="A9" s="6" t="n">
        <x:v>46161.5</x:v>
      </x:c>
      <x:c r="B9" s="7" t="str">
        <x:v>Lovable</x:v>
      </x:c>
      <x:c r="C9" s="7" t="str">
        <x:v>Lovable</x:v>
      </x:c>
      <x:c r="D9" s="9" t="n">
        <x:v>595.4</x:v>
      </x:c>
      <x:c r="E9" s="10" t="str">
        <x:v>167</x:v>
      </x:c>
      <x:c r="F9" s="10" t="str">
        <x:v>3869</x:v>
      </x:c>
      <x:c r="G9" s="7" t="str">
        <x:v>BRL 577,42 = USD 114,84</x:v>
      </x:c>
    </x:row>
    <x:row r="10" ht="21" customHeight="1">
      <x:c r="A10" s="6" t="n">
        <x:v>46162.5</x:v>
      </x:c>
      <x:c r="B10" s="7" t="str">
        <x:v>Chatwoot</x:v>
      </x:c>
      <x:c r="C10" s="7" t="str">
        <x:v>Chatwoot</x:v>
      </x:c>
      <x:c r="D10" s="9" t="n">
        <x:v>693.48</x:v>
      </x:c>
      <x:c r="E10" s="10" t="str">
        <x:v>167</x:v>
      </x:c>
      <x:c r="F10" s="10" t="str">
        <x:v>3869</x:v>
      </x:c>
      <x:c r="G10" s="7" t="str">
        <x:v>USD 133,00</x:v>
      </x:c>
    </x:row>
    <x:row r="11" ht="21" customHeight="1">
      <x:c r="A11" s="6" t="n">
        <x:v>46162.5</x:v>
      </x:c>
      <x:c r="B11" s="7" t="str">
        <x:v>Windsurf</x:v>
      </x:c>
      <x:c r="C11" s="7" t="str">
        <x:v>Windsurf</x:v>
      </x:c>
      <x:c r="D11" s="9" t="n">
        <x:v>135.88</x:v>
      </x:c>
      <x:c r="E11" s="10" t="str">
        <x:v>167</x:v>
      </x:c>
      <x:c r="F11" s="10" t="str">
        <x:v>3869</x:v>
      </x:c>
      <x:c r="G11" s="7" t="str">
        <x:v>BRL 131,13 = USD 26,06</x:v>
      </x:c>
    </x:row>
    <x:row r="12" ht="21" customHeight="1">
      <x:c r="A12" s="6" t="n">
        <x:v>46162.5</x:v>
      </x:c>
      <x:c r="B12" s="7" t="str">
        <x:v>Www_contabo_com</x:v>
      </x:c>
      <x:c r="C12" s="7" t="str">
        <x:v>Contabo</x:v>
      </x:c>
      <x:c r="D12" s="9" t="n">
        <x:v>83.06</x:v>
      </x:c>
      <x:c r="E12" s="10" t="str">
        <x:v>167</x:v>
      </x:c>
      <x:c r="F12" s="10" t="str">
        <x:v>3869</x:v>
      </x:c>
      <x:c r="G12" s="7" t="str">
        <x:v>EUR 13,45 = USD 15,93</x:v>
      </x:c>
    </x:row>
    <x:row r="13" ht="21" customHeight="1">
      <x:c r="A13" s="6" t="n">
        <x:v>46163.5</x:v>
      </x:c>
      <x:c r="B13" s="7" t="str">
        <x:v>Dl *Google Ads12047271</x:v>
      </x:c>
      <x:c r="C13" s="7" t="str">
        <x:v>Google Ads</x:v>
      </x:c>
      <x:c r="D13" s="9" t="n">
        <x:v>6000</x:v>
      </x:c>
      <x:c r="E13" s="10" t="str">
        <x:v>Rateio</x:v>
      </x:c>
      <x:c r="F13" s="10" t="str">
        <x:v>3869</x:v>
      </x:c>
      <x:c r="G13" s="7" t="str">
        <x:v>Cobrança em reais</x:v>
      </x:c>
    </x:row>
    <x:row r="14" ht="21" customHeight="1">
      <x:c r="A14" s="6" t="n">
        <x:v>46164.5</x:v>
      </x:c>
      <x:c r="B14" s="7" t="str">
        <x:v>Www_contabo_com</x:v>
      </x:c>
      <x:c r="C14" s="7" t="str">
        <x:v>Contabo</x:v>
      </x:c>
      <x:c r="D14" s="9" t="n">
        <x:v>97.61</x:v>
      </x:c>
      <x:c r="E14" s="10" t="str">
        <x:v>167</x:v>
      </x:c>
      <x:c r="F14" s="10" t="str">
        <x:v>3869</x:v>
      </x:c>
      <x:c r="G14" s="7" t="str">
        <x:v>EUR 15,80 = USD 18,72</x:v>
      </x:c>
    </x:row>
    <x:row r="15" ht="21" customHeight="1">
      <x:c r="A15" s="6" t="n">
        <x:v>46164.5</x:v>
      </x:c>
      <x:c r="B15" s="7" t="str">
        <x:v>Facebk *Dqp5cmvz42</x:v>
      </x:c>
      <x:c r="C15" s="7" t="str">
        <x:v>Meta Ads</x:v>
      </x:c>
      <x:c r="D15" s="9" t="n">
        <x:v>2846</x:v>
      </x:c>
      <x:c r="E15" s="10" t="str">
        <x:v>Rateio</x:v>
      </x:c>
      <x:c r="F15" s="10" t="str">
        <x:v>3869</x:v>
      </x:c>
      <x:c r="G15" s="7" t="str">
        <x:v>Cobrança em reais</x:v>
      </x:c>
    </x:row>
    <x:row r="16" ht="21" customHeight="1">
      <x:c r="A16" s="6" t="n">
        <x:v>46164.5</x:v>
      </x:c>
      <x:c r="B16" s="7" t="str">
        <x:v>Google Ads1204727139</x:v>
      </x:c>
      <x:c r="C16" s="7" t="str">
        <x:v>Google Ads</x:v>
      </x:c>
      <x:c r="D16" s="9" t="n">
        <x:v>2000</x:v>
      </x:c>
      <x:c r="E16" s="10" t="str">
        <x:v>Rateio</x:v>
      </x:c>
      <x:c r="F16" s="10" t="str">
        <x:v>3869</x:v>
      </x:c>
      <x:c r="G16" s="7" t="str">
        <x:v>Cobrança em reais</x:v>
      </x:c>
    </x:row>
    <x:row r="17" ht="21" customHeight="1">
      <x:c r="A17" s="6" t="n">
        <x:v>46165.5</x:v>
      </x:c>
      <x:c r="B17" s="7" t="str">
        <x:v>Windsurf</x:v>
      </x:c>
      <x:c r="C17" s="7" t="str">
        <x:v>Windsurf</x:v>
      </x:c>
      <x:c r="D17" s="9" t="n">
        <x:v>135.19</x:v>
      </x:c>
      <x:c r="E17" s="10" t="str">
        <x:v>167</x:v>
      </x:c>
      <x:c r="F17" s="10" t="str">
        <x:v>3869</x:v>
      </x:c>
      <x:c r="G17" s="7" t="str">
        <x:v>BRL 130,63 = USD 26,05</x:v>
      </x:c>
    </x:row>
    <x:row r="18" ht="21" customHeight="1">
      <x:c r="A18" s="6" t="n">
        <x:v>46166.5</x:v>
      </x:c>
      <x:c r="B18" s="7" t="str">
        <x:v>Starlink Internet</x:v>
      </x:c>
      <x:c r="C18" s="7" t="str">
        <x:v>Starlink</x:v>
      </x:c>
      <x:c r="D18" s="9" t="n">
        <x:v>116.19</x:v>
      </x:c>
      <x:c r="E18" s="10" t="str">
        <x:v>167</x:v>
      </x:c>
      <x:c r="F18" s="10" t="str">
        <x:v>3869</x:v>
      </x:c>
      <x:c r="G18" s="7" t="str">
        <x:v>Cobrança em reais</x:v>
      </x:c>
    </x:row>
    <x:row r="19" ht="21" customHeight="1">
      <x:c r="A19" s="6" t="n">
        <x:v>46168.5</x:v>
      </x:c>
      <x:c r="B19" s="7" t="str">
        <x:v>Apple.Com/Bill</x:v>
      </x:c>
      <x:c r="C19" s="7" t="str">
        <x:v>Apple</x:v>
      </x:c>
      <x:c r="D19" s="9" t="n">
        <x:v>32.9</x:v>
      </x:c>
      <x:c r="E19" s="10" t="str">
        <x:v>178</x:v>
      </x:c>
      <x:c r="F19" s="10" t="str">
        <x:v>3869</x:v>
      </x:c>
      <x:c r="G19" s="7" t="str">
        <x:v>Cobrança em reais</x:v>
      </x:c>
    </x:row>
    <x:row r="20" ht="21" customHeight="1">
      <x:c r="A20" s="6" t="n">
        <x:v>46169.5</x:v>
      </x:c>
      <x:c r="B20" s="7" t="str">
        <x:v>Google Ads1204727139</x:v>
      </x:c>
      <x:c r="C20" s="7" t="str">
        <x:v>Google Ads</x:v>
      </x:c>
      <x:c r="D20" s="9" t="n">
        <x:v>2000</x:v>
      </x:c>
      <x:c r="E20" s="10" t="str">
        <x:v>Rateio</x:v>
      </x:c>
      <x:c r="F20" s="10" t="str">
        <x:v>3869</x:v>
      </x:c>
      <x:c r="G20" s="7" t="str">
        <x:v>Cobrança em reais</x:v>
      </x:c>
    </x:row>
    <x:row r="21" ht="21" customHeight="1">
      <x:c r="A21" s="6" t="n">
        <x:v>46169.5</x:v>
      </x:c>
      <x:c r="B21" s="7" t="str">
        <x:v>Apple.Com/Us</x:v>
      </x:c>
      <x:c r="C21" s="7" t="str">
        <x:v>Apple</x:v>
      </x:c>
      <x:c r="D21" s="9" t="n">
        <x:v>514.49</x:v>
      </x:c>
      <x:c r="E21" s="10" t="str">
        <x:v>178</x:v>
      </x:c>
      <x:c r="F21" s="10" t="str">
        <x:v>3869</x:v>
      </x:c>
      <x:c r="G21" s="7" t="str">
        <x:v>USD 99,00</x:v>
      </x:c>
    </x:row>
    <x:row r="22" ht="21" customHeight="1">
      <x:c r="A22" s="6" t="n">
        <x:v>46170.5</x:v>
      </x:c>
      <x:c r="B22" s="7" t="str">
        <x:v>Windsurf</x:v>
      </x:c>
      <x:c r="C22" s="7" t="str">
        <x:v>Windsurf</x:v>
      </x:c>
      <x:c r="D22" s="9" t="n">
        <x:v>78.52</x:v>
      </x:c>
      <x:c r="E22" s="10" t="str">
        <x:v>167</x:v>
      </x:c>
      <x:c r="F22" s="10" t="str">
        <x:v>3869</x:v>
      </x:c>
      <x:c r="G22" s="7" t="str">
        <x:v>USD 15,00</x:v>
      </x:c>
    </x:row>
    <x:row r="23" ht="21" customHeight="1">
      <x:c r="A23" s="6" t="n">
        <x:v>46170.5</x:v>
      </x:c>
      <x:c r="B23" s="7" t="str">
        <x:v>Ebn *Spotify</x:v>
      </x:c>
      <x:c r="C23" s="7" t="str">
        <x:v>Spotify</x:v>
      </x:c>
      <x:c r="D23" s="9" t="n">
        <x:v>23.9</x:v>
      </x:c>
      <x:c r="E23" s="10" t="str">
        <x:v>178</x:v>
      </x:c>
      <x:c r="F23" s="10" t="str">
        <x:v>3869</x:v>
      </x:c>
      <x:c r="G23" s="7" t="str">
        <x:v>Cobrança em reais</x:v>
      </x:c>
    </x:row>
    <x:row r="24" ht="21" customHeight="1">
      <x:c r="A24" s="6" t="n">
        <x:v>46170.5</x:v>
      </x:c>
      <x:c r="B24" s="7" t="str">
        <x:v>Openai *Chatgpt Subscr</x:v>
      </x:c>
      <x:c r="C24" s="7" t="str">
        <x:v>OpenAI / ChatGPT</x:v>
      </x:c>
      <x:c r="D24" s="9" t="n">
        <x:v>104.18</x:v>
      </x:c>
      <x:c r="E24" s="10" t="str">
        <x:v>167</x:v>
      </x:c>
      <x:c r="F24" s="10" t="str">
        <x:v>3869</x:v>
      </x:c>
      <x:c r="G24" s="7" t="str">
        <x:v>BRL 99,90 = USD 19,90</x:v>
      </x:c>
    </x:row>
    <x:row r="25" ht="21" customHeight="1">
      <x:c r="A25" s="6" t="n">
        <x:v>46171.5</x:v>
      </x:c>
      <x:c r="B25" s="7" t="str">
        <x:v>Anthropic</x:v>
      </x:c>
      <x:c r="C25" s="7" t="str">
        <x:v>Anthropic / Claude</x:v>
      </x:c>
      <x:c r="D25" s="9" t="n">
        <x:v>51.71</x:v>
      </x:c>
      <x:c r="E25" s="10" t="str">
        <x:v>167</x:v>
      </x:c>
      <x:c r="F25" s="10" t="str">
        <x:v>3869</x:v>
      </x:c>
      <x:c r="G25" s="7" t="str">
        <x:v>BRL 50,00 = USD 9,89</x:v>
      </x:c>
    </x:row>
    <x:row r="26" ht="21" customHeight="1">
      <x:c r="A26" s="6" t="n">
        <x:v>46173.5</x:v>
      </x:c>
      <x:c r="B26" s="7" t="str">
        <x:v>Windsurf</x:v>
      </x:c>
      <x:c r="C26" s="7" t="str">
        <x:v>Windsurf</x:v>
      </x:c>
      <x:c r="D26" s="9" t="n">
        <x:v>78.51</x:v>
      </x:c>
      <x:c r="E26" s="10" t="str">
        <x:v>167</x:v>
      </x:c>
      <x:c r="F26" s="10" t="str">
        <x:v>3869</x:v>
      </x:c>
      <x:c r="G26" s="7" t="str">
        <x:v>USD 15,00</x:v>
      </x:c>
    </x:row>
    <x:row r="27" ht="21" customHeight="1">
      <x:c r="A27" s="6" t="n">
        <x:v>46174.5</x:v>
      </x:c>
      <x:c r="B27" s="7" t="str">
        <x:v>Facebk *75wkvnd422</x:v>
      </x:c>
      <x:c r="C27" s="7" t="str">
        <x:v>Meta Ads</x:v>
      </x:c>
      <x:c r="D27" s="9" t="n">
        <x:v>77.26</x:v>
      </x:c>
      <x:c r="E27" s="10" t="str">
        <x:v>Rateio</x:v>
      </x:c>
      <x:c r="F27" s="10" t="str">
        <x:v>3869</x:v>
      </x:c>
      <x:c r="G27" s="7" t="str">
        <x:v>USD 14,84</x:v>
      </x:c>
    </x:row>
    <x:row r="28" ht="21" customHeight="1">
      <x:c r="A28" s="6" t="n">
        <x:v>46174.5</x:v>
      </x:c>
      <x:c r="B28" s="7" t="str">
        <x:v>Ebn *Spotify</x:v>
      </x:c>
      <x:c r="C28" s="7" t="str">
        <x:v>Spotify</x:v>
      </x:c>
      <x:c r="D28" s="9" t="n">
        <x:v>23.9</x:v>
      </x:c>
      <x:c r="E28" s="10" t="str">
        <x:v>178</x:v>
      </x:c>
      <x:c r="F28" s="10" t="str">
        <x:v>3869</x:v>
      </x:c>
      <x:c r="G28" s="7" t="str">
        <x:v>Cobrança em reais</x:v>
      </x:c>
    </x:row>
    <x:row r="29" ht="21" customHeight="1">
      <x:c r="A29" s="6" t="n">
        <x:v>46175.5</x:v>
      </x:c>
      <x:c r="B29" s="7" t="str">
        <x:v>Starlink Internet</x:v>
      </x:c>
      <x:c r="C29" s="7" t="str">
        <x:v>Starlink</x:v>
      </x:c>
      <x:c r="D29" s="9" t="n">
        <x:v>471.04</x:v>
      </x:c>
      <x:c r="E29" s="10" t="str">
        <x:v>167</x:v>
      </x:c>
      <x:c r="F29" s="10" t="str">
        <x:v>3869</x:v>
      </x:c>
      <x:c r="G29" s="7" t="str">
        <x:v>Cobrança em reais</x:v>
      </x:c>
    </x:row>
    <x:row r="30" ht="21" customHeight="1">
      <x:c r="A30" s="6" t="n">
        <x:v>46175.5</x:v>
      </x:c>
      <x:c r="B30" s="7" t="str">
        <x:v>Google Ads1204727139</x:v>
      </x:c>
      <x:c r="C30" s="7" t="str">
        <x:v>Google Ads</x:v>
      </x:c>
      <x:c r="D30" s="9" t="n">
        <x:v>2282.06</x:v>
      </x:c>
      <x:c r="E30" s="10" t="str">
        <x:v>Rateio</x:v>
      </x:c>
      <x:c r="F30" s="10" t="str">
        <x:v>3869</x:v>
      </x:c>
      <x:c r="G30" s="7" t="str">
        <x:v>Cobrança em reais</x:v>
      </x:c>
    </x:row>
    <x:row r="31" ht="21" customHeight="1">
      <x:c r="A31" s="6" t="n">
        <x:v>46175.5</x:v>
      </x:c>
      <x:c r="B31" s="7" t="str">
        <x:v>Anthropic</x:v>
      </x:c>
      <x:c r="C31" s="7" t="str">
        <x:v>Anthropic / Claude</x:v>
      </x:c>
      <x:c r="D31" s="9" t="n">
        <x:v>51.6</x:v>
      </x:c>
      <x:c r="E31" s="10" t="str">
        <x:v>167</x:v>
      </x:c>
      <x:c r="F31" s="10" t="str">
        <x:v>3869</x:v>
      </x:c>
      <x:c r="G31" s="7" t="str">
        <x:v>BRL 50,00 = USD 9,91</x:v>
      </x:c>
    </x:row>
    <x:row r="32" ht="21" customHeight="1">
      <x:c r="A32" s="6" t="n">
        <x:v>46175.5</x:v>
      </x:c>
      <x:c r="B32" s="7" t="str">
        <x:v>Google Workspace_youdo</x:v>
      </x:c>
      <x:c r="C32" s="7" t="str">
        <x:v>Google Workspace</x:v>
      </x:c>
      <x:c r="D32" s="9" t="n">
        <x:v>807.47</x:v>
      </x:c>
      <x:c r="E32" s="10" t="str">
        <x:v>167</x:v>
      </x:c>
      <x:c r="F32" s="10" t="str">
        <x:v>3869</x:v>
      </x:c>
      <x:c r="G32" s="7" t="str">
        <x:v>Cobrança em reais</x:v>
      </x:c>
    </x:row>
    <x:row r="33" ht="21" customHeight="1">
      <x:c r="A33" s="6" t="n">
        <x:v>46175.5</x:v>
      </x:c>
      <x:c r="B33" s="7" t="str">
        <x:v>Apple.Com/Bill</x:v>
      </x:c>
      <x:c r="C33" s="7" t="str">
        <x:v>Apple</x:v>
      </x:c>
      <x:c r="D33" s="9" t="n">
        <x:v>19.9</x:v>
      </x:c>
      <x:c r="E33" s="10" t="str">
        <x:v>178</x:v>
      </x:c>
      <x:c r="F33" s="10" t="str">
        <x:v>3869</x:v>
      </x:c>
      <x:c r="G33" s="7" t="str">
        <x:v>Cobrança em reais</x:v>
      </x:c>
    </x:row>
    <x:row r="34" ht="21" customHeight="1">
      <x:c r="A34" s="6" t="n">
        <x:v>46180.5</x:v>
      </x:c>
      <x:c r="B34" s="7" t="str">
        <x:v>Openai *Chatgpt Subscr</x:v>
      </x:c>
      <x:c r="C34" s="7" t="str">
        <x:v>OpenAI / ChatGPT</x:v>
      </x:c>
      <x:c r="D34" s="9" t="n">
        <x:v>106.08</x:v>
      </x:c>
      <x:c r="E34" s="10" t="str">
        <x:v>167</x:v>
      </x:c>
      <x:c r="F34" s="10" t="str">
        <x:v>3869</x:v>
      </x:c>
      <x:c r="G34" s="7" t="str">
        <x:v>USD 20,00</x:v>
      </x:c>
    </x:row>
    <x:row r="35" ht="21" customHeight="1">
      <x:c r="A35" s="6" t="n">
        <x:v>46182.5</x:v>
      </x:c>
      <x:c r="B35" s="7" t="str">
        <x:v>Uber Uber *Trip Help.U</x:v>
      </x:c>
      <x:c r="C35" s="7" t="str">
        <x:v>Uber</x:v>
      </x:c>
      <x:c r="D35" s="9" t="n">
        <x:v>5.44</x:v>
      </x:c>
      <x:c r="E35" s="10" t="str">
        <x:v>A confirmar</x:v>
      </x:c>
      <x:c r="F35" s="10" t="str">
        <x:v>8184</x:v>
      </x:c>
      <x:c r="G35" s="7" t="str">
        <x:v>Cobrança em reais</x:v>
      </x:c>
    </x:row>
  </x:sheetData>
  <x:pageMargins left="0.7" right="0.7" top="0.75" bottom="0.75" header="0.3" footer="0.3"/>
  <x:tableParts count="1">
    <x:tablePart xmlns:r="http://schemas.openxmlformats.org/officeDocument/2006/relationships" r:id="Raf1d4c83fd26461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4" hidden="0" customWidth="1"/>
    <x:col min="4" max="4" width="22" hidden="0" customWidth="1"/>
    <x:col min="5" max="5" width="16" hidden="0" customWidth="1"/>
    <x:col min="6" max="6" width="36" hidden="0" customWidth="1"/>
  </x:cols>
  <x:sheetData>
    <x:row r="1" ht="38" customHeight="1">
      <x:c r="A1" s="36" t="str">
        <x:v>Lançamentos por PI - junho de 2026</x:v>
      </x:c>
      <x:c r="B1" s="36"/>
      <x:c r="C1" s="36"/>
      <x:c r="D1" s="36"/>
      <x:c r="E1" s="36"/>
      <x:c r="F1" s="36"/>
    </x:row>
    <x:row r="3" ht="28" customHeight="1">
      <x:c r="A3" s="38" t="str">
        <x:v>Fornecedor</x:v>
      </x:c>
      <x:c r="B3" s="38" t="str">
        <x:v>Categoria</x:v>
      </x:c>
      <x:c r="C3" s="38" t="str">
        <x:v>PI</x:v>
      </x:c>
      <x:c r="D3" s="38" t="str">
        <x:v>Valor a lançar (R$)</x:v>
      </x:c>
      <x:c r="E3" s="38" t="str">
        <x:v>Peso aplicado</x:v>
      </x:c>
      <x:c r="F3" s="38" t="str">
        <x:v>Regra / origem</x:v>
      </x:c>
    </x:row>
    <x:row r="4" ht="22" customHeight="1">
      <x:c r="A4" s="39" t="str">
        <x:v>Anthropic / Claude</x:v>
      </x:c>
      <x:c r="B4" s="39" t="str">
        <x:v>Serviço</x:v>
      </x:c>
      <x:c r="C4" s="42" t="str">
        <x:v>167</x:v>
      </x:c>
      <x:c r="D4" s="43" t="n">
        <x:f>ROUND(SUMIF('Lançamentos'!$C$2:$C$35,A4,'Lançamentos'!$D$2:$D$35),2)</x:f>
        <x:v>1180.16</x:v>
      </x:c>
      <x:c r="E4" s="44" t="n">
        <x:v>1</x:v>
      </x:c>
      <x:c r="F4" s="39" t="str">
        <x:v>PI conforme referência enviada</x:v>
      </x:c>
    </x:row>
    <x:row r="5" ht="22" customHeight="1">
      <x:c r="A5" s="39" t="str">
        <x:v>Lovable</x:v>
      </x:c>
      <x:c r="B5" s="39" t="str">
        <x:v>Serviço</x:v>
      </x:c>
      <x:c r="C5" s="42" t="str">
        <x:v>167</x:v>
      </x:c>
      <x:c r="D5" s="43" t="n">
        <x:f>ROUND(SUMIF('Lançamentos'!$C$2:$C$35,A5,'Lançamentos'!$D$2:$D$35),2)</x:f>
        <x:v>881.56</x:v>
      </x:c>
      <x:c r="E5" s="44" t="n">
        <x:v>1</x:v>
      </x:c>
      <x:c r="F5" s="39" t="str">
        <x:v>PI conforme referência enviada</x:v>
      </x:c>
    </x:row>
    <x:row r="6" ht="22" customHeight="1">
      <x:c r="A6" s="39" t="str">
        <x:v>Google Workspace</x:v>
      </x:c>
      <x:c r="B6" s="39" t="str">
        <x:v>Serviço</x:v>
      </x:c>
      <x:c r="C6" s="42" t="str">
        <x:v>167</x:v>
      </x:c>
      <x:c r="D6" s="43" t="n">
        <x:f>ROUND(SUMIF('Lançamentos'!$C$2:$C$35,A6,'Lançamentos'!$D$2:$D$35),2)</x:f>
        <x:v>807.47</x:v>
      </x:c>
      <x:c r="E6" s="44" t="n">
        <x:v>1</x:v>
      </x:c>
      <x:c r="F6" s="39" t="str">
        <x:v>PI conforme referência enviada</x:v>
      </x:c>
    </x:row>
    <x:row r="7" ht="22" customHeight="1">
      <x:c r="A7" s="39" t="str">
        <x:v>Chatwoot</x:v>
      </x:c>
      <x:c r="B7" s="39" t="str">
        <x:v>Serviço</x:v>
      </x:c>
      <x:c r="C7" s="42" t="str">
        <x:v>167</x:v>
      </x:c>
      <x:c r="D7" s="43" t="n">
        <x:f>ROUND(SUMIF('Lançamentos'!$C$2:$C$35,A7,'Lançamentos'!$D$2:$D$35),2)</x:f>
        <x:v>693.48</x:v>
      </x:c>
      <x:c r="E7" s="44" t="n">
        <x:v>1</x:v>
      </x:c>
      <x:c r="F7" s="39" t="str">
        <x:v>PI conforme referência enviada</x:v>
      </x:c>
    </x:row>
    <x:row r="8" ht="22" customHeight="1">
      <x:c r="A8" s="39" t="str">
        <x:v>Starlink</x:v>
      </x:c>
      <x:c r="B8" s="39" t="str">
        <x:v>Internet</x:v>
      </x:c>
      <x:c r="C8" s="42" t="str">
        <x:v>167</x:v>
      </x:c>
      <x:c r="D8" s="43" t="n">
        <x:f>ROUND(SUMIF('Lançamentos'!$C$2:$C$35,A8,'Lançamentos'!$D$2:$D$35),2)</x:f>
        <x:v>587.23</x:v>
      </x:c>
      <x:c r="E8" s="44" t="n">
        <x:v>1</x:v>
      </x:c>
      <x:c r="F8" s="39" t="str">
        <x:v>PI conforme referência enviada</x:v>
      </x:c>
    </x:row>
    <x:row r="9" ht="22" customHeight="1">
      <x:c r="A9" s="39" t="str">
        <x:v>Apple</x:v>
      </x:c>
      <x:c r="B9" s="39" t="str">
        <x:v>Serviço</x:v>
      </x:c>
      <x:c r="C9" s="42" t="str">
        <x:v>178</x:v>
      </x:c>
      <x:c r="D9" s="43" t="n">
        <x:f>ROUND(SUMIF('Lançamentos'!$C$2:$C$35,A9,'Lançamentos'!$D$2:$D$35),2)</x:f>
        <x:v>567.29</x:v>
      </x:c>
      <x:c r="E9" s="44" t="n">
        <x:v>1</x:v>
      </x:c>
      <x:c r="F9" s="39" t="str">
        <x:v>PI conforme referência enviada</x:v>
      </x:c>
    </x:row>
    <x:row r="10" ht="22" customHeight="1">
      <x:c r="A10" s="39" t="str">
        <x:v>Windsurf</x:v>
      </x:c>
      <x:c r="B10" s="39" t="str">
        <x:v>Serviço</x:v>
      </x:c>
      <x:c r="C10" s="42" t="str">
        <x:v>167</x:v>
      </x:c>
      <x:c r="D10" s="43" t="n">
        <x:f>ROUND(SUMIF('Lançamentos'!$C$2:$C$35,A10,'Lançamentos'!$D$2:$D$35),2)</x:f>
        <x:v>428.1</x:v>
      </x:c>
      <x:c r="E10" s="44" t="n">
        <x:v>1</x:v>
      </x:c>
      <x:c r="F10" s="39" t="str">
        <x:v>PI conforme referência enviada</x:v>
      </x:c>
    </x:row>
    <x:row r="11" ht="22" customHeight="1">
      <x:c r="A11" s="39" t="str">
        <x:v>OpenAI / ChatGPT</x:v>
      </x:c>
      <x:c r="B11" s="39" t="str">
        <x:v>Serviço</x:v>
      </x:c>
      <x:c r="C11" s="42" t="str">
        <x:v>167</x:v>
      </x:c>
      <x:c r="D11" s="43" t="n">
        <x:f>ROUND(SUMIF('Lançamentos'!$C$2:$C$35,A11,'Lançamentos'!$D$2:$D$35),2)</x:f>
        <x:v>210.26</x:v>
      </x:c>
      <x:c r="E11" s="44" t="n">
        <x:v>1</x:v>
      </x:c>
      <x:c r="F11" s="39" t="str">
        <x:v>PI conforme referência enviada</x:v>
      </x:c>
    </x:row>
    <x:row r="12" ht="22" customHeight="1">
      <x:c r="A12" s="39" t="str">
        <x:v>Contabo</x:v>
      </x:c>
      <x:c r="B12" s="39" t="str">
        <x:v>Infraestrutura</x:v>
      </x:c>
      <x:c r="C12" s="42" t="str">
        <x:v>167</x:v>
      </x:c>
      <x:c r="D12" s="43" t="n">
        <x:f>ROUND(SUMIF('Lançamentos'!$C$2:$C$35,A12,'Lançamentos'!$D$2:$D$35),2)</x:f>
        <x:v>180.67</x:v>
      </x:c>
      <x:c r="E12" s="44" t="n">
        <x:v>1</x:v>
      </x:c>
      <x:c r="F12" s="39" t="str">
        <x:v>PI conforme referência enviada</x:v>
      </x:c>
    </x:row>
    <x:row r="13" ht="22" customHeight="1">
      <x:c r="A13" s="39" t="str">
        <x:v>Twilio</x:v>
      </x:c>
      <x:c r="B13" s="39" t="str">
        <x:v>Serviço</x:v>
      </x:c>
      <x:c r="C13" s="42" t="str">
        <x:v>167</x:v>
      </x:c>
      <x:c r="D13" s="43" t="n">
        <x:f>ROUND(SUMIF('Lançamentos'!$C$2:$C$35,A13,'Lançamentos'!$D$2:$D$35),2)</x:f>
        <x:v>101.67</x:v>
      </x:c>
      <x:c r="E13" s="44" t="n">
        <x:v>1</x:v>
      </x:c>
      <x:c r="F13" s="39" t="str">
        <x:v>PI conforme referência enviada</x:v>
      </x:c>
    </x:row>
    <x:row r="14" ht="22" customHeight="1">
      <x:c r="A14" s="39" t="str">
        <x:v>Spotify</x:v>
      </x:c>
      <x:c r="B14" s="39" t="str">
        <x:v>Serviço</x:v>
      </x:c>
      <x:c r="C14" s="42" t="str">
        <x:v>178</x:v>
      </x:c>
      <x:c r="D14" s="43" t="n">
        <x:f>ROUND(SUMIF('Lançamentos'!$C$2:$C$35,A14,'Lançamentos'!$D$2:$D$35),2)</x:f>
        <x:v>47.8</x:v>
      </x:c>
      <x:c r="E14" s="44" t="n">
        <x:v>1</x:v>
      </x:c>
      <x:c r="F14" s="39" t="str">
        <x:v>PI conforme referência enviada</x:v>
      </x:c>
    </x:row>
    <x:row r="15" ht="22" customHeight="1">
      <x:c r="A15" s="39" t="str">
        <x:v>ElevenLabs</x:v>
      </x:c>
      <x:c r="B15" s="39" t="str">
        <x:v>Serviço</x:v>
      </x:c>
      <x:c r="C15" s="42" t="str">
        <x:v>167</x:v>
      </x:c>
      <x:c r="D15" s="43" t="n">
        <x:f>ROUND(SUMIF('Lançamentos'!$C$2:$C$35,A15,'Lançamentos'!$D$2:$D$35),2)</x:f>
        <x:v>26.21</x:v>
      </x:c>
      <x:c r="E15" s="44" t="n">
        <x:v>1</x:v>
      </x:c>
      <x:c r="F15" s="39" t="str">
        <x:v>PI conforme referência enviada</x:v>
      </x:c>
    </x:row>
    <x:row r="16" ht="22" customHeight="1">
      <x:c r="A16" s="39" t="str">
        <x:v>Uber</x:v>
      </x:c>
      <x:c r="B16" s="39" t="str">
        <x:v>Transporte</x:v>
      </x:c>
      <x:c r="C16" s="42" t="str">
        <x:v>A confirmar</x:v>
      </x:c>
      <x:c r="D16" s="43" t="n">
        <x:f>ROUND(SUMIF('Lançamentos'!$C$2:$C$35,A16,'Lançamentos'!$D$2:$D$35),2)</x:f>
        <x:v>5.44</x:v>
      </x:c>
      <x:c r="E16" s="44" t="n">
        <x:v>1</x:v>
      </x:c>
      <x:c r="F16" s="39" t="str">
        <x:v>PI não localizado na referência; confirmar</x:v>
      </x:c>
    </x:row>
    <x:row r="17" ht="22" customHeight="1">
      <x:c r="A17" s="39" t="str">
        <x:v>Google Ads</x:v>
      </x:c>
      <x:c r="B17" s="39" t="str">
        <x:v>Eventos</x:v>
      </x:c>
      <x:c r="C17" s="42" t="str">
        <x:v>178/176</x:v>
      </x:c>
      <x:c r="D17" s="43" t="n">
        <x:f>ROUND(SUMIF('Lançamentos'!$C$2:$C$35,A17,'Lançamentos'!$D$2:$D$35)*E17,2)</x:f>
        <x:v>8868.3</x:v>
      </x:c>
      <x:c r="E17" s="44" t="n">
        <x:v>0.7220528424220565</x:v>
      </x:c>
      <x:c r="F17" s="39" t="str">
        <x:v>Rateio Google Ads da referência</x:v>
      </x:c>
    </x:row>
    <x:row r="18" ht="22" customHeight="1">
      <x:c r="A18" s="39" t="str">
        <x:v>Google Ads</x:v>
      </x:c>
      <x:c r="B18" s="39" t="str">
        <x:v>Coworking</x:v>
      </x:c>
      <x:c r="C18" s="42" t="str">
        <x:v>167</x:v>
      </x:c>
      <x:c r="D18" s="43" t="n">
        <x:f>ROUND(SUMIF('Lançamentos'!$C$2:$C$35,A18,'Lançamentos'!$D$2:$D$35)*E18,2)</x:f>
        <x:v>2608.89</x:v>
      </x:c>
      <x:c r="E18" s="44" t="n">
        <x:v>0.21241507842173155</x:v>
      </x:c>
      <x:c r="F18" s="39" t="str">
        <x:v>Rateio Google Ads da referência</x:v>
      </x:c>
    </x:row>
    <x:row r="19" ht="22" customHeight="1">
      <x:c r="A19" s="39" t="str">
        <x:v>Google Ads</x:v>
      </x:c>
      <x:c r="B19" s="39" t="str">
        <x:v>Rooftop</x:v>
      </x:c>
      <x:c r="C19" s="42" t="str">
        <x:v>178</x:v>
      </x:c>
      <x:c r="D19" s="43" t="n">
        <x:f>ROUND(SUMIF('Lançamentos'!$C$2:$C$35,A19,'Lançamentos'!$D$2:$D$35)-D17-D18,2)</x:f>
        <x:v>804.87</x:v>
      </x:c>
      <x:c r="E19" s="44" t="n">
        <x:v>0.06553207915621204</x:v>
      </x:c>
      <x:c r="F19" s="39" t="str">
        <x:v>Rateio Google Ads da referência</x:v>
      </x:c>
    </x:row>
    <x:row r="20" ht="22" customHeight="1">
      <x:c r="A20" s="39" t="str">
        <x:v>Meta Ads</x:v>
      </x:c>
      <x:c r="B20" s="39" t="str">
        <x:v>Eventos</x:v>
      </x:c>
      <x:c r="C20" s="42" t="str">
        <x:v>178/176</x:v>
      </x:c>
      <x:c r="D20" s="43" t="n">
        <x:f>ROUND(SUMIF('Lançamentos'!$C$2:$C$35,A20,'Lançamentos'!$D$2:$D$35)*E20,2)</x:f>
        <x:v>1059.77</x:v>
      </x:c>
      <x:c r="E20" s="44" t="n">
        <x:v>0.3625305687785561</x:v>
      </x:c>
      <x:c r="F20" s="39" t="str">
        <x:v>Peso normalizado pelos valores-base</x:v>
      </x:c>
    </x:row>
    <x:row r="21" ht="22" customHeight="1">
      <x:c r="A21" s="39" t="str">
        <x:v>Meta Ads</x:v>
      </x:c>
      <x:c r="B21" s="39" t="str">
        <x:v>Coworking</x:v>
      </x:c>
      <x:c r="C21" s="42" t="str">
        <x:v>167</x:v>
      </x:c>
      <x:c r="D21" s="43" t="n">
        <x:f>ROUND(SUMIF('Lançamentos'!$C$2:$C$35,A21,'Lançamentos'!$D$2:$D$35)*E21,2)</x:f>
        <x:v>819.55</x:v>
      </x:c>
      <x:c r="E21" s="44" t="n">
        <x:v>0.28035489010118914</x:v>
      </x:c>
      <x:c r="F21" s="39" t="str">
        <x:v>Peso normalizado pelos valores-base</x:v>
      </x:c>
    </x:row>
    <x:row r="22" ht="22" customHeight="1">
      <x:c r="A22" s="39" t="str">
        <x:v>Meta Ads</x:v>
      </x:c>
      <x:c r="B22" s="39" t="str">
        <x:v>Rooftop</x:v>
      </x:c>
      <x:c r="C22" s="42" t="str">
        <x:v>178</x:v>
      </x:c>
      <x:c r="D22" s="43" t="n">
        <x:f>ROUND(SUMIF('Lançamentos'!$C$2:$C$35,A22,'Lançamentos'!$D$2:$D$35)*E22,2)</x:f>
        <x:v>588.78</x:v>
      </x:c>
      <x:c r="E22" s="44" t="n">
        <x:v>0.20141118554252208</x:v>
      </x:c>
      <x:c r="F22" s="39" t="str">
        <x:v>Peso normalizado pelos valores-base</x:v>
      </x:c>
    </x:row>
    <x:row r="23" ht="22" customHeight="1">
      <x:c r="A23" s="39" t="str">
        <x:v>Meta Ads</x:v>
      </x:c>
      <x:c r="B23" s="39" t="str">
        <x:v>Studios</x:v>
      </x:c>
      <x:c r="C23" s="42" t="str">
        <x:v>167</x:v>
      </x:c>
      <x:c r="D23" s="43" t="n">
        <x:f>ROUND(SUMIF('Lançamentos'!$C$2:$C$35,A23,'Lançamentos'!$D$2:$D$35)-D20-D21-D22,2)</x:f>
        <x:v>455.16</x:v>
      </x:c>
      <x:c r="E23" s="44" t="n">
        <x:v>0.15570335557773263</x:v>
      </x:c>
      <x:c r="F23" s="39" t="str">
        <x:v>Peso normalizado pelos valores-base</x:v>
      </x:c>
    </x:row>
    <x:row r="25">
      <x:c r="A25" s="47" t="str">
        <x:v>Conferência</x:v>
      </x:c>
      <x:c r="B25" s="47" t="str">
        <x:v>Valor</x:v>
      </x:c>
      <x:c r="C25" s="47" t="str">
        <x:v>Status</x:v>
      </x:c>
    </x:row>
    <x:row r="26">
      <x:c r="A26" s="49" t="str">
        <x:v>Total da fatura</x:v>
      </x:c>
      <x:c r="B26" s="50" t="n">
        <x:f>ROUND(SUM('Lançamentos'!D2:D35),2)</x:f>
        <x:v>20922.66</x:v>
      </x:c>
      <x:c r="C26" s="48"/>
    </x:row>
    <x:row r="27">
      <x:c r="A27" s="49" t="str">
        <x:v>Total lançado por PI</x:v>
      </x:c>
      <x:c r="B27" s="50" t="n">
        <x:f>ROUND(SUM(D4:D23),2)</x:f>
        <x:v>20922.66</x:v>
      </x:c>
      <x:c r="C27" s="48"/>
    </x:row>
    <x:row r="28">
      <x:c r="A28" s="49" t="str">
        <x:v>Diferença</x:v>
      </x:c>
      <x:c r="B28" s="50" t="n">
        <x:f>ROUND(B27-B26,2)</x:f>
        <x:v>0</x:v>
      </x:c>
      <x:c r="C28" s="53" t="str">
        <x:f>IF(B28=0,"OK","REVISAR")</x:f>
        <x:v>OK</x:v>
      </x:c>
    </x:row>
    <x:row r="30" ht="44" customHeight="1">
      <x:c r="A30" s="57" t="str">
        <x:v>Nota: os percentuais exibidos na referência do Facebook somavam 103,90%. Foram usados os valores-base das categorias, normalizados para 100%. Uber não constava na referência e ficou como PI a confirmar.</x:v>
      </x:c>
      <x:c r="B30" s="57"/>
      <x:c r="C30" s="57"/>
      <x:c r="D30" s="57"/>
      <x:c r="E30" s="57"/>
      <x:c r="F30" s="57"/>
    </x:row>
  </x:sheetData>
  <x:mergeCells>
    <x:mergeCell ref="A1:F1"/>
    <x:mergeCell ref="A30:F30"/>
  </x:mergeCells>
  <x:pageMargins left="0.7" right="0.7" top="0.75" bottom="0.75" header="0.3" footer="0.3"/>
  <x:tableParts count="1">
    <x:tablePart xmlns:r="http://schemas.openxmlformats.org/officeDocument/2006/relationships" r:id="Rc63bb4ff09d64f75"/>
  </x:tableParts>
</x:worksheet>
</file>