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" sheetId="1" r:id="rId4"/>
    <sheet state="visible" name="Faturamento L1 e L2" sheetId="2" r:id="rId5"/>
    <sheet state="visible" name="Faturamento RTC" sheetId="3" r:id="rId6"/>
    <sheet state="visible" name="GASTOS POR ESPAÇO" sheetId="4" r:id="rId7"/>
    <sheet state="visible" name="GASTOS DETALHADOS" sheetId="5" r:id="rId8"/>
    <sheet state="visible" name="Cópia de GASTOS DETALHADOS" sheetId="6" r:id="rId9"/>
  </sheets>
  <definedNames>
    <definedName hidden="1" localSheetId="1" name="_xlnm._FilterDatabase">'Faturamento L1 e L2'!$A$1:$O$14</definedName>
    <definedName hidden="1" localSheetId="2" name="_xlnm._FilterDatabase">'Faturamento RTC'!$A$1:$O$13</definedName>
    <definedName hidden="1" localSheetId="4" name="_xlnm._FilterDatabase">'GASTOS DETALHADOS'!$A$1:$Z$1023</definedName>
    <definedName hidden="1" localSheetId="5" name="_xlnm._FilterDatabase">'Cópia de GASTOS DETALHADOS'!$A$1:$G$1351</definedName>
  </definedNames>
  <calcPr/>
  <extLst>
    <ext uri="GoogleSheetsCustomDataVersion2">
      <go:sheetsCustomData xmlns:go="http://customooxmlschemas.google.com/" r:id="rId10" roundtripDataChecksum="he7nMCWSWszzYtkKSa16I0qt1pLiRL+2tbPlYNA/20U="/>
    </ext>
  </extLst>
</workbook>
</file>

<file path=xl/sharedStrings.xml><?xml version="1.0" encoding="utf-8"?>
<sst xmlns="http://schemas.openxmlformats.org/spreadsheetml/2006/main" count="3099" uniqueCount="931">
  <si>
    <t>REALIZADO</t>
  </si>
  <si>
    <t>DISCRIMINAÇÃO</t>
  </si>
  <si>
    <t>VALOR R$</t>
  </si>
  <si>
    <t>1.Faturamento YOU</t>
  </si>
  <si>
    <t>Reembolsos stone</t>
  </si>
  <si>
    <t>A&amp;B&amp;E</t>
  </si>
  <si>
    <t>2.Faturamento Experience</t>
  </si>
  <si>
    <t>L1 + L2</t>
  </si>
  <si>
    <t>RTC</t>
  </si>
  <si>
    <t>Total</t>
  </si>
  <si>
    <t>4. Custos Loja You</t>
  </si>
  <si>
    <t>Resultado You BAR</t>
  </si>
  <si>
    <t>8. Espaços 178</t>
  </si>
  <si>
    <t>Receitas</t>
  </si>
  <si>
    <t>Despesas</t>
  </si>
  <si>
    <t>Resultado</t>
  </si>
  <si>
    <t xml:space="preserve"> </t>
  </si>
  <si>
    <t>Resultado 178</t>
  </si>
  <si>
    <t>Yield (3mi)</t>
  </si>
  <si>
    <t>Simulação</t>
  </si>
  <si>
    <t>Reserva</t>
  </si>
  <si>
    <t>Cliente</t>
  </si>
  <si>
    <t>Data Aceite</t>
  </si>
  <si>
    <t>Data Check-in</t>
  </si>
  <si>
    <t>Valor sim.</t>
  </si>
  <si>
    <t>Locação espaço</t>
  </si>
  <si>
    <t>Alim./bebidas</t>
  </si>
  <si>
    <t>Equipe apoio</t>
  </si>
  <si>
    <t>Loc. equip.</t>
  </si>
  <si>
    <t>Entretenimento</t>
  </si>
  <si>
    <t>Anúncio</t>
  </si>
  <si>
    <t>Tem Check-out?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</si>
  <si>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7539</t>
    </r>
    <r>
      <rPr>
        <rFont val="Helvetica, Geneva, sans-serif"/>
        <sz val="8.0"/>
      </rPr>
      <t>]</t>
    </r>
  </si>
  <si>
    <t>Elaine Maria Silva de Souza</t>
  </si>
  <si>
    <t>Sim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</si>
  <si>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7213</t>
    </r>
    <r>
      <rPr>
        <rFont val="Helvetica, Geneva, sans-serif"/>
        <sz val="8.0"/>
      </rPr>
      <t>]</t>
    </r>
  </si>
  <si>
    <t>Ana Beneck</t>
  </si>
  <si>
    <t>SEM DESOCUP.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</si>
  <si>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7601</t>
    </r>
    <r>
      <rPr>
        <rFont val="Helvetica, Geneva, sans-serif"/>
        <sz val="8.0"/>
      </rPr>
      <t>]</t>
    </r>
  </si>
  <si>
    <t>Sharim Amar Borrione Arab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</si>
  <si>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7563</t>
    </r>
    <r>
      <rPr>
        <rFont val="Helvetica, Geneva, sans-serif"/>
        <sz val="8.0"/>
      </rPr>
      <t>]</t>
    </r>
  </si>
  <si>
    <t>Globopack Embalagens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</si>
  <si>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7510</t>
    </r>
    <r>
      <rPr>
        <rFont val="Helvetica, Geneva, sans-serif"/>
        <sz val="8.0"/>
      </rPr>
      <t>]</t>
    </r>
  </si>
  <si>
    <t>Juliana Maria Andrade de Carvalho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</si>
  <si>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7804</t>
    </r>
    <r>
      <rPr>
        <rFont val="Helvetica, Geneva, sans-serif"/>
        <sz val="8.0"/>
      </rPr>
      <t>]</t>
    </r>
  </si>
  <si>
    <t>Maria Eduarda penkal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</si>
  <si>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7731</t>
    </r>
    <r>
      <rPr>
        <rFont val="Helvetica, Geneva, sans-serif"/>
        <sz val="8.0"/>
      </rPr>
      <t>]</t>
    </r>
  </si>
  <si>
    <t>Fabiola Gonçalves dos Santos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</si>
  <si>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6976</t>
    </r>
    <r>
      <rPr>
        <rFont val="Helvetica, Geneva, sans-serif"/>
        <sz val="8.0"/>
      </rPr>
      <t>]</t>
    </r>
  </si>
  <si>
    <t>A confirmar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</si>
  <si>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6975</t>
    </r>
    <r>
      <rPr>
        <rFont val="Helvetica, Geneva, sans-serif"/>
        <sz val="8.0"/>
      </rPr>
      <t>]</t>
    </r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</si>
  <si>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7900</t>
    </r>
    <r>
      <rPr>
        <rFont val="Helvetica, Geneva, sans-serif"/>
        <sz val="8.0"/>
      </rPr>
      <t>]</t>
    </r>
  </si>
  <si>
    <t>Emanuel Ribas Santos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</si>
  <si>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6768</t>
    </r>
    <r>
      <rPr>
        <rFont val="Helvetica, Geneva, sans-serif"/>
        <sz val="8.0"/>
      </rPr>
      <t>]</t>
    </r>
  </si>
  <si>
    <t>Cirde Eufrázio da Silva Filho</t>
  </si>
  <si>
    <r>
      <rPr>
        <rFont val="Helvetica Neue"/>
        <sz val="8.0"/>
      </rPr>
      <t>[</t>
    </r>
    <r>
      <rPr>
        <rFont val="Helvetica, Geneva, sans-serif"/>
        <color rgb="FF1155CC"/>
        <sz val="8.0"/>
        <u/>
      </rPr>
      <t>7461</t>
    </r>
    <r>
      <rPr>
        <rFont val="Helvetica, Geneva, sans-serif"/>
        <sz val="8.0"/>
      </rPr>
      <t>]</t>
    </r>
  </si>
  <si>
    <t>Thays cândido da silva</t>
  </si>
  <si>
    <t>YOU</t>
  </si>
  <si>
    <t>L1</t>
  </si>
  <si>
    <t>L2</t>
  </si>
  <si>
    <t>FORNECEDOR/GRUPO</t>
  </si>
  <si>
    <t>BAR</t>
  </si>
  <si>
    <t>INSUMO BAR</t>
  </si>
  <si>
    <t>Utensílios</t>
  </si>
  <si>
    <t>COZINHA</t>
  </si>
  <si>
    <t>INSUMO COZ</t>
  </si>
  <si>
    <t>SALÃO</t>
  </si>
  <si>
    <t>INSUMO SALÃO</t>
  </si>
  <si>
    <t>ALUGUEL ITENS DIVERSOS</t>
  </si>
  <si>
    <t>LIMPEZA</t>
  </si>
  <si>
    <t>INSUMO LIMP</t>
  </si>
  <si>
    <t>PALCO</t>
  </si>
  <si>
    <t>Insumos</t>
  </si>
  <si>
    <t>MANUTENÇÃO</t>
  </si>
  <si>
    <t>REPOSIÇÃO INSUMOS</t>
  </si>
  <si>
    <t xml:space="preserve">DESPESAS FIXAS </t>
  </si>
  <si>
    <t>PROLÁBORE</t>
  </si>
  <si>
    <t>ENERGIA</t>
  </si>
  <si>
    <t>IPTU</t>
  </si>
  <si>
    <t>CUSTOS BÁSICOS</t>
  </si>
  <si>
    <t>TRANSPORTE</t>
  </si>
  <si>
    <t>UBER</t>
  </si>
  <si>
    <t>VALLET</t>
  </si>
  <si>
    <t>SISTEMA GESTÃO E VENDAS</t>
  </si>
  <si>
    <t>SISTEMA</t>
  </si>
  <si>
    <t>MUSICOS</t>
  </si>
  <si>
    <t>MÚSICOS</t>
  </si>
  <si>
    <t>SERVIÇO ADICIONAL CLIENTE</t>
  </si>
  <si>
    <t>REEMBOLSO CLIENTE</t>
  </si>
  <si>
    <t>MARKETING</t>
  </si>
  <si>
    <t>Publicidade e Propaganda</t>
  </si>
  <si>
    <t>STAFF</t>
  </si>
  <si>
    <t>Funcionarios CLT</t>
  </si>
  <si>
    <t>Funcionario CLT</t>
  </si>
  <si>
    <t>Larissa Ghellere (20%)</t>
  </si>
  <si>
    <t>Larissa Ghellere (40%)</t>
  </si>
  <si>
    <t>Larissa Ghellere (30%)</t>
  </si>
  <si>
    <t>Larissa Ghellere (10%)</t>
  </si>
  <si>
    <t>20% do total que está no L1</t>
  </si>
  <si>
    <t>Salário Base</t>
  </si>
  <si>
    <t>30% do total que está no L1</t>
  </si>
  <si>
    <t>10% do total que está no L1</t>
  </si>
  <si>
    <t>FGTS</t>
  </si>
  <si>
    <t>Multa Rescisória FGTS</t>
  </si>
  <si>
    <t>Provisão FGTS sob ferias e 13</t>
  </si>
  <si>
    <t>IR</t>
  </si>
  <si>
    <t>INSS</t>
  </si>
  <si>
    <t>Provisão INSS sob ferias e 13</t>
  </si>
  <si>
    <t>Provisão 13 salario</t>
  </si>
  <si>
    <t>Provisão 1/3 Férias</t>
  </si>
  <si>
    <t>Adicional Noturno</t>
  </si>
  <si>
    <t>Adicional Cargo de Confiança</t>
  </si>
  <si>
    <t>Bonificação</t>
  </si>
  <si>
    <t>Vale transporte</t>
  </si>
  <si>
    <t>Vale Alimentaçao</t>
  </si>
  <si>
    <t>Vale Refeição</t>
  </si>
  <si>
    <t>Emanuel Ribas dos Santos</t>
  </si>
  <si>
    <t>Gabrielle de Fatima Ribeiro Cubas (20%)</t>
  </si>
  <si>
    <t>Gabrielle de Fatima Ribeiro Cubas (40%)</t>
  </si>
  <si>
    <t>Gabrielle de Fatima Ribeiro Cubas (30%)</t>
  </si>
  <si>
    <t>Gabrielle de Fatima Ribeiro Cubas (10%)</t>
  </si>
  <si>
    <t>NUTRICIONISTA</t>
  </si>
  <si>
    <t>TAXAS</t>
  </si>
  <si>
    <t>STAFF COZINHA</t>
  </si>
  <si>
    <t>STAFF ESPAÇO</t>
  </si>
  <si>
    <t>STAFF SERVIÇO</t>
  </si>
  <si>
    <t>STAFF LOUÇA</t>
  </si>
  <si>
    <t>SEGURANÇA</t>
  </si>
  <si>
    <t>TECNICO DE SOM</t>
  </si>
  <si>
    <t>FINANCEIRO</t>
  </si>
  <si>
    <t>Divida</t>
  </si>
  <si>
    <t>CUSTOS FINANCEIROS</t>
  </si>
  <si>
    <t>Simples Nacional 1/60</t>
  </si>
  <si>
    <t>DARF 1/2</t>
  </si>
  <si>
    <t>Debito Previdenciario 1/4</t>
  </si>
  <si>
    <t>Simples Nacional transação 1/12</t>
  </si>
  <si>
    <t>IMPOSTOS</t>
  </si>
  <si>
    <t>Impostos</t>
  </si>
  <si>
    <t>Aluguel</t>
  </si>
  <si>
    <t>Taxas cartório/documentação</t>
  </si>
  <si>
    <t>Acerto de caixa</t>
  </si>
  <si>
    <t>SERVIÇOS CONTABEIS</t>
  </si>
  <si>
    <t>PI</t>
  </si>
  <si>
    <t>Dt. Pagto</t>
  </si>
  <si>
    <t>Vlr. Pagto</t>
  </si>
  <si>
    <t>Fornecedor</t>
  </si>
  <si>
    <t>ESPAÇO</t>
  </si>
  <si>
    <t>SETOR</t>
  </si>
  <si>
    <t>NF</t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</si>
  <si>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</si>
  <si>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Jordana Gabriela do Sanros Carvalho</t>
    </r>
  </si>
  <si>
    <t>STAFF FAXINA/MONTAGEM</t>
  </si>
  <si>
    <t>RAMALHETE DE MIRRA LOCACOES</t>
  </si>
  <si>
    <t>04052026</t>
  </si>
  <si>
    <t>19052026</t>
  </si>
  <si>
    <t>VIP Service Personal Locação e Festas Ltda</t>
  </si>
  <si>
    <t>05052026</t>
  </si>
  <si>
    <t>reposicao coposalugados</t>
  </si>
  <si>
    <t>1805</t>
  </si>
  <si>
    <t>COPEL DISTRIBUICAO S/A</t>
  </si>
  <si>
    <t>06052026146982</t>
  </si>
  <si>
    <t>Governo Federal / Imp. Ret. Forn / INSS</t>
  </si>
  <si>
    <t>2605</t>
  </si>
  <si>
    <t>Governo Federal / Imp. Ret. Forn / IR</t>
  </si>
  <si>
    <t>Governo Federal / Imp. Ret. Forn / PIS-Coﬁns-CSLL</t>
  </si>
  <si>
    <t>simples nacional</t>
  </si>
  <si>
    <t>simples nacional 2</t>
  </si>
  <si>
    <t>Baldo S/A Comercio, Indústria e Exportação</t>
  </si>
  <si>
    <t>insumo bar</t>
  </si>
  <si>
    <t>CACHAÇA CAIÇARA</t>
  </si>
  <si>
    <t>1405</t>
  </si>
  <si>
    <t>EBAZAR.COM.BR LTDA</t>
  </si>
  <si>
    <t>EMPRESA DE AGUAS PE DA SERRA LTDA</t>
  </si>
  <si>
    <t>2105</t>
  </si>
  <si>
    <t>HAUSBEER COMERCIO DE BEBIDAS LTDA</t>
  </si>
  <si>
    <t>HAVAN LOJAS DE DEPARTAMENTOS LTDA</t>
  </si>
  <si>
    <t>taças</t>
  </si>
  <si>
    <t>1613</t>
  </si>
  <si>
    <t>MC BEBIDAS E ALIMENTOS</t>
  </si>
  <si>
    <t>VESPER MICRO DESTILARIA</t>
  </si>
  <si>
    <t>ZE DELIVERY APP</t>
  </si>
  <si>
    <t>campari</t>
  </si>
  <si>
    <t>1705</t>
  </si>
  <si>
    <t>ABAJI INDUSTRIA E COMERCIO SORVETES</t>
  </si>
  <si>
    <t>sorvete evento09/05</t>
  </si>
  <si>
    <t>sorvete 21/05</t>
  </si>
  <si>
    <r>
      <rPr>
        <rFont val="Arial"/>
        <color theme="1"/>
        <sz val="10.0"/>
      </rPr>
      <t>99 POP</t>
    </r>
  </si>
  <si>
    <r>
      <rPr>
        <rFont val="Arial"/>
        <color theme="1"/>
        <sz val="10.0"/>
      </rPr>
      <t>manutencao maquina de</t>
    </r>
  </si>
  <si>
    <r>
      <rPr>
        <rFont val="Arial"/>
        <color theme="1"/>
        <sz val="10.0"/>
      </rPr>
      <t>ADRIEL DE OLIVEIRA FERNANDES</t>
    </r>
  </si>
  <si>
    <t>AÇOUGUE TIROLEZA</t>
  </si>
  <si>
    <t>carnes 01 e 02</t>
  </si>
  <si>
    <t>carn3s 02/05</t>
  </si>
  <si>
    <r>
      <rPr>
        <rFont val="Arial"/>
        <color theme="1"/>
        <sz val="10.0"/>
      </rPr>
      <t>EBAZAR.COM.BR LTDA</t>
    </r>
  </si>
  <si>
    <r>
      <rPr>
        <rFont val="Arial"/>
        <color theme="1"/>
        <sz val="10.0"/>
      </rPr>
      <t>refil etiqueta</t>
    </r>
  </si>
  <si>
    <t>estrogonoff staffcontratado</t>
  </si>
  <si>
    <r>
      <rPr>
        <rFont val="Arial"/>
        <color theme="1"/>
        <sz val="10.0"/>
      </rPr>
      <t>MADERA LOCACAO DE MOVEIS</t>
    </r>
  </si>
  <si>
    <r>
      <rPr>
        <rFont val="Arial"/>
        <color theme="1"/>
        <sz val="10.0"/>
      </rPr>
      <t>Xin Eletronicos</t>
    </r>
  </si>
  <si>
    <t>moida empanada,frango teriakymusculo ragu</t>
  </si>
  <si>
    <t>eventos 08 e 09mini burguer,borghignon,mignon e</t>
  </si>
  <si>
    <t>mini burguer eteriaky</t>
  </si>
  <si>
    <t>musculobourghignon</t>
  </si>
  <si>
    <t>teriaky e ragu</t>
  </si>
  <si>
    <t>teriaky estrogonoff pacotestaff</t>
  </si>
  <si>
    <t>ARMAZEM DAS EMBALAGENS</t>
  </si>
  <si>
    <t>caixinhas</t>
  </si>
  <si>
    <t>embalagenshotdog</t>
  </si>
  <si>
    <t>csixinhas</t>
  </si>
  <si>
    <t>embalagempizzas</t>
  </si>
  <si>
    <t>embalagens pizza</t>
  </si>
  <si>
    <t>Atacadao S A</t>
  </si>
  <si>
    <t>aipim</t>
  </si>
  <si>
    <t>Aurora Cooperativa</t>
  </si>
  <si>
    <t>parmesao,provolone emanteiga</t>
  </si>
  <si>
    <t>Bapka</t>
  </si>
  <si>
    <t>sorvete milk shake</t>
  </si>
  <si>
    <t>CAMILO E TUTUMI HORTIFRUTI</t>
  </si>
  <si>
    <t>eventos 05, 06, 08e 09</t>
  </si>
  <si>
    <t>eventos 14 e 15</t>
  </si>
  <si>
    <t>evento 20/05</t>
  </si>
  <si>
    <t>eventos 29 e 30</t>
  </si>
  <si>
    <t>limao e laranjabahia bar</t>
  </si>
  <si>
    <t>CARREFOUR COMERCIO E INDUSTRIA LTDA</t>
  </si>
  <si>
    <t>degustacao buffet</t>
  </si>
  <si>
    <t>limao</t>
  </si>
  <si>
    <t>Casa das Embalagens</t>
  </si>
  <si>
    <t>CASA NOVA COMERCIO DE EMBALAGENS</t>
  </si>
  <si>
    <t>perﬂex</t>
  </si>
  <si>
    <t>insumos bar</t>
  </si>
  <si>
    <t>cia da verdura</t>
  </si>
  <si>
    <t>evento 08 e 09</t>
  </si>
  <si>
    <t>CONDOR SUPER CENTER LTDA</t>
  </si>
  <si>
    <t>bruschetta ecsene de onça</t>
  </si>
  <si>
    <r>
      <rPr>
        <rFont val="Arial"/>
        <color theme="1"/>
        <sz val="10.0"/>
      </rPr>
      <t>Emily Carolini Gomes Ribeiro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</si>
  <si>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</si>
  <si>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</si>
  <si>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</si>
  <si>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</si>
  <si>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t>evento pizzas eFF01</t>
  </si>
  <si>
    <r>
      <rPr>
        <rFont val="Arial"/>
        <color theme="1"/>
        <sz val="10.0"/>
      </rPr>
      <t>Kelli samarita de Castro</t>
    </r>
  </si>
  <si>
    <r>
      <rPr>
        <rFont val="Arial"/>
        <color theme="1"/>
        <sz val="10.0"/>
      </rPr>
      <t>Kelli samarita de Castro</t>
    </r>
  </si>
  <si>
    <t>arbóreo</t>
  </si>
  <si>
    <t>bar limao hirtela</t>
  </si>
  <si>
    <t>evento 30/05</t>
  </si>
  <si>
    <t>001</t>
  </si>
  <si>
    <t>Copal Alimentos Ltda</t>
  </si>
  <si>
    <t>evento 08 e 09/05</t>
  </si>
  <si>
    <t>eventos 15 e 16</t>
  </si>
  <si>
    <t>eventos 20 a 24</t>
  </si>
  <si>
    <t>eventos 22 e 23</t>
  </si>
  <si>
    <t>daniel sydorak plinta</t>
  </si>
  <si>
    <t>3009</t>
  </si>
  <si>
    <t>DISTRIBUIDORA PAIOL</t>
  </si>
  <si>
    <t>gás</t>
  </si>
  <si>
    <r>
      <rPr>
        <rFont val="Arial"/>
        <color theme="1"/>
        <sz val="10.0"/>
      </rPr>
      <t>suki martins</t>
    </r>
  </si>
  <si>
    <t>Dixon mejia</t>
  </si>
  <si>
    <t>0621</t>
  </si>
  <si>
    <t>1008</t>
  </si>
  <si>
    <t>1711</t>
  </si>
  <si>
    <t>insumo cozinha</t>
  </si>
  <si>
    <t>insumo coz</t>
  </si>
  <si>
    <t>Jeferson Fernando arceli</t>
  </si>
  <si>
    <t>paes burguer ehotdog</t>
  </si>
  <si>
    <t>paes.minihamburguer</t>
  </si>
  <si>
    <t>LEROY MERLIN CIA BRASILEIRA DE BRICOLAGEM</t>
  </si>
  <si>
    <t>luvas termicas</t>
  </si>
  <si>
    <t>PLATINOX LOJA</t>
  </si>
  <si>
    <t>gas macarico</t>
  </si>
  <si>
    <t>POP HOUSE</t>
  </si>
  <si>
    <t>nozes antepastos</t>
  </si>
  <si>
    <t>rei do queijo</t>
  </si>
  <si>
    <t>evento 02/05</t>
  </si>
  <si>
    <t>eventos 05 e 06</t>
  </si>
  <si>
    <t>antepastos</t>
  </si>
  <si>
    <t>evento 08/05</t>
  </si>
  <si>
    <t>petit four</t>
  </si>
  <si>
    <t>coco raladococada</t>
  </si>
  <si>
    <t>SACOLAO POPULAR CURITIBANO</t>
  </si>
  <si>
    <t>abacate</t>
  </si>
  <si>
    <t>oregano e alface</t>
  </si>
  <si>
    <t>cebola</t>
  </si>
  <si>
    <t>cebolinhas</t>
  </si>
  <si>
    <t>tomate</t>
  </si>
  <si>
    <t>manjericao</t>
  </si>
  <si>
    <t>tomate e cebola</t>
  </si>
  <si>
    <t>tomate seco,rúcula emanjericao</t>
  </si>
  <si>
    <t>hortela</t>
  </si>
  <si>
    <t>degustação</t>
  </si>
  <si>
    <t>tomate seco</t>
  </si>
  <si>
    <t>SENDAS DISTRIBUIDORA S/A</t>
  </si>
  <si>
    <t>baguetes</t>
  </si>
  <si>
    <t>eventos 02</t>
  </si>
  <si>
    <t>ecento 02</t>
  </si>
  <si>
    <r>
      <rPr>
        <rFont val="Arial"/>
        <color theme="1"/>
        <sz val="10.0"/>
      </rPr>
      <t>Gabrielle de Fatima Ribeiro cubas</t>
    </r>
  </si>
  <si>
    <t>JÁ LANÇADO</t>
  </si>
  <si>
    <t>pao taxas</t>
  </si>
  <si>
    <t>evento 02</t>
  </si>
  <si>
    <t>eventos 05/05</t>
  </si>
  <si>
    <r>
      <rPr>
        <rFont val="Arial"/>
        <color theme="1"/>
        <sz val="10.0"/>
      </rPr>
      <t>Larissa Ghellere</t>
    </r>
  </si>
  <si>
    <r>
      <rPr>
        <rFont val="Arial"/>
        <color theme="1"/>
        <sz val="10.0"/>
      </rPr>
      <t>Talento Nexus</t>
    </r>
  </si>
  <si>
    <t>evento dia 05 e 07</t>
  </si>
  <si>
    <t>leite milk shake</t>
  </si>
  <si>
    <t>eve tos 08 e 09</t>
  </si>
  <si>
    <t>eventos 08 e 09</t>
  </si>
  <si>
    <t>gengibre e cremede leite</t>
  </si>
  <si>
    <t>eventos 09/05</t>
  </si>
  <si>
    <t>eventos</t>
  </si>
  <si>
    <t>arboreo</t>
  </si>
  <si>
    <t>evento 16/05</t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</si>
  <si>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</si>
  <si>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rtc 03/05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</si>
  <si>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</si>
  <si>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L2 01/05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</si>
  <si>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</si>
  <si>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rtc 02.05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</si>
  <si>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</si>
  <si>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02.05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</si>
  <si>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</si>
  <si>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02.05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</si>
  <si>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</si>
  <si>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03.05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</si>
  <si>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</si>
  <si>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05/05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</si>
  <si>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</si>
  <si>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L2 05/05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</si>
  <si>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</si>
  <si>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06/05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</si>
  <si>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</si>
  <si>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L2 06/05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</si>
  <si>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</si>
  <si>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L2 07/05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</si>
  <si>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</si>
  <si>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07/05</t>
    </r>
  </si>
  <si>
    <t>eventos 20/21/22</t>
  </si>
  <si>
    <t>amido e refeiçõestaxas</t>
  </si>
  <si>
    <t>baguetes e tomate</t>
  </si>
  <si>
    <t>evento e degusta21/05</t>
  </si>
  <si>
    <t>pizzas</t>
  </si>
  <si>
    <t>evento 23/05</t>
  </si>
  <si>
    <t>teste pizza doce ebreadsteak</t>
  </si>
  <si>
    <t>gengibre bar</t>
  </si>
  <si>
    <t>açucar xarope ejanta staff</t>
  </si>
  <si>
    <t>SOL DE MINAS COMERCIO DE FRIOS LTDA</t>
  </si>
  <si>
    <t>parma</t>
  </si>
  <si>
    <t>mesa deantepastos</t>
  </si>
  <si>
    <t>Supermercado Festval</t>
  </si>
  <si>
    <t>paes</t>
  </si>
  <si>
    <t>degustaçoes</t>
  </si>
  <si>
    <r>
      <rPr>
        <rFont val="Arial"/>
        <color theme="1"/>
        <sz val="10.0"/>
      </rPr>
      <t>Kelli samarita de Castro</t>
    </r>
  </si>
  <si>
    <t>arboreo lombooregano e tomateseco</t>
  </si>
  <si>
    <t>Trapiche Comercio de Produtos e Alimenticios Eireli</t>
  </si>
  <si>
    <t>salmao e camarao</t>
  </si>
  <si>
    <t>esponja</t>
  </si>
  <si>
    <t>PINHAPEL COMERCIO DE PAPEIS LTDA</t>
  </si>
  <si>
    <t>1414</t>
  </si>
  <si>
    <t>BALMANT CONSULTORIA DE MARKETING E TECNOLOGIA LTDA</t>
  </si>
  <si>
    <t>110501</t>
  </si>
  <si>
    <t>CAIXA ECONOMICA FEDERAL - FGTS</t>
  </si>
  <si>
    <t>uber</t>
  </si>
  <si>
    <t>0850101</t>
  </si>
  <si>
    <t>EMANUEL RIBAS SANTOS - PENSÃO - LETÍCIA SILKA LASS</t>
  </si>
  <si>
    <t>070501</t>
  </si>
  <si>
    <t>Governo Federal / Imp. Ret. Func./ INSS</t>
  </si>
  <si>
    <t>LS MANUTENCÕES LTDA</t>
  </si>
  <si>
    <t>tecnico iluminacao</t>
  </si>
  <si>
    <t>FACEBOOK</t>
  </si>
  <si>
    <t>Google Inc</t>
  </si>
  <si>
    <t>Talento Nexus</t>
  </si>
  <si>
    <t>07051</t>
  </si>
  <si>
    <t>Eric Chien</t>
  </si>
  <si>
    <t>1905</t>
  </si>
  <si>
    <t>gustavo ronial dos santos</t>
  </si>
  <si>
    <t>0628</t>
  </si>
  <si>
    <t>FOTON S CONTABILIDADE LTDA</t>
  </si>
  <si>
    <t>25051</t>
  </si>
  <si>
    <t>Alexis santos de Almeida</t>
  </si>
  <si>
    <t>taxa cozinha01/05</t>
  </si>
  <si>
    <t>taxa cozinha</t>
  </si>
  <si>
    <t>evento 05/05</t>
  </si>
  <si>
    <t>evento 06/05</t>
  </si>
  <si>
    <t>taxa 09/05</t>
  </si>
  <si>
    <t>pre preparo</t>
  </si>
  <si>
    <t>taxa cozinha15/05</t>
  </si>
  <si>
    <r>
      <rPr>
        <rFont val="Arial"/>
        <color theme="1"/>
        <sz val="10.0"/>
      </rPr>
      <t>ADRIEL DE OLIVEIRA FERNANDES</t>
    </r>
  </si>
  <si>
    <r>
      <rPr>
        <rFont val="Arial"/>
        <color theme="1"/>
        <sz val="10.0"/>
      </rPr>
      <t>ADRIEL DE OLIVEIRA FERNANDES</t>
    </r>
  </si>
  <si>
    <r>
      <rPr>
        <rFont val="Arial"/>
        <color theme="1"/>
        <sz val="10.0"/>
      </rPr>
      <t>ADRIEL DE OLIVEIRA FERNANDES</t>
    </r>
  </si>
  <si>
    <t>taxa cozinha20/05</t>
  </si>
  <si>
    <r>
      <rPr>
        <rFont val="Arial"/>
        <color theme="1"/>
        <sz val="10.0"/>
      </rPr>
      <t>Kelli samarita de Castro</t>
    </r>
  </si>
  <si>
    <t>taxa cozinha21/05</t>
  </si>
  <si>
    <r>
      <rPr>
        <rFont val="Arial"/>
        <color theme="1"/>
        <sz val="10.0"/>
      </rPr>
      <t>Stefany taylla souza</t>
    </r>
  </si>
  <si>
    <t>evento 22/05</t>
  </si>
  <si>
    <t>pré preparo</t>
  </si>
  <si>
    <t>taxa cozinha30/05</t>
  </si>
  <si>
    <t>alison rodrigues ribas</t>
  </si>
  <si>
    <t>0710</t>
  </si>
  <si>
    <t>1005</t>
  </si>
  <si>
    <t>Henrique Duba</t>
  </si>
  <si>
    <r>
      <rPr>
        <rFont val="Arial"/>
        <color theme="1"/>
        <sz val="10.0"/>
      </rPr>
      <t>Cassia Rafaela Keller</t>
    </r>
  </si>
  <si>
    <r>
      <rPr>
        <rFont val="Arial"/>
        <color theme="1"/>
        <sz val="10.0"/>
      </rPr>
      <t>Cassia Rafaela Keller</t>
    </r>
  </si>
  <si>
    <r>
      <rPr>
        <rFont val="Arial"/>
        <color theme="1"/>
        <sz val="10.0"/>
      </rPr>
      <t>Cassia Rafaela Keller</t>
    </r>
  </si>
  <si>
    <t>taxa evento 06/05</t>
  </si>
  <si>
    <t>taxa cozinhaevento 08/05</t>
  </si>
  <si>
    <t>taxa 08/05</t>
  </si>
  <si>
    <r>
      <rPr>
        <rFont val="Arial"/>
        <color theme="1"/>
        <sz val="10.0"/>
      </rPr>
      <t>Ariana Szczepanski</t>
    </r>
  </si>
  <si>
    <t>tathiane borcathe</t>
  </si>
  <si>
    <t>taxa cozinha +alcool gel rechaud</t>
  </si>
  <si>
    <t>taxa cozinha07/05</t>
  </si>
  <si>
    <t>Taxa cozinha</t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</si>
  <si>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</si>
  <si>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</si>
  <si>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</si>
  <si>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</si>
  <si>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</si>
  <si>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</si>
  <si>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</si>
  <si>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</si>
  <si>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</si>
  <si>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</si>
  <si>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VERSATILE DESCARTAVEIS LTDA</t>
    </r>
  </si>
  <si>
    <r>
      <rPr>
        <rFont val="Arial"/>
        <color theme="1"/>
        <sz val="10.0"/>
      </rPr>
      <t>VERSATILE DESCARTAVEIS LTDA</t>
    </r>
  </si>
  <si>
    <r>
      <rPr>
        <rFont val="Arial"/>
        <color theme="1"/>
        <sz val="10.0"/>
      </rPr>
      <t>VERSATILE DESCARTAVEIS LTDA</t>
    </r>
  </si>
  <si>
    <t>taxa cozinha19/05</t>
  </si>
  <si>
    <r>
      <rPr>
        <rFont val="Arial"/>
        <color theme="1"/>
        <sz val="10.0"/>
      </rPr>
      <t>Kelli samarita de Castro</t>
    </r>
  </si>
  <si>
    <t>taxa cozinha29/05</t>
  </si>
  <si>
    <t>Tertuliano Ribeiro</t>
  </si>
  <si>
    <r>
      <rPr>
        <color rgb="FF000000"/>
        <u/>
      </rPr>
      <t>lounges</t>
    </r>
  </si>
  <si>
    <r>
      <rPr>
        <color rgb="FF000000"/>
        <u/>
      </rPr>
      <t>lounges</t>
    </r>
  </si>
  <si>
    <r>
      <rPr>
        <color rgb="FF000000"/>
        <u/>
      </rPr>
      <t>rooftop</t>
    </r>
  </si>
  <si>
    <r>
      <rPr>
        <color rgb="FF1155CC"/>
        <u/>
      </rPr>
      <t>rooftop</t>
    </r>
  </si>
  <si>
    <r>
      <rPr>
        <color rgb="FF1155CC"/>
        <u/>
      </rPr>
      <t>lounges</t>
    </r>
  </si>
  <si>
    <t>Apple Inc.</t>
  </si>
  <si>
    <t>SPOTIFY PREMIUM</t>
  </si>
  <si>
    <t>Vitoria de Oliveira Coelho</t>
  </si>
  <si>
    <t>1011</t>
  </si>
  <si>
    <t>Alan Lara Piccoli</t>
  </si>
  <si>
    <t>0619</t>
  </si>
  <si>
    <t>Carla Marine dos Santos Kluczkievicz</t>
  </si>
  <si>
    <t>louça 09/05</t>
  </si>
  <si>
    <t>taxa louça</t>
  </si>
  <si>
    <t>2406</t>
  </si>
  <si>
    <t>Eudes Jhunior silva</t>
  </si>
  <si>
    <t>2405</t>
  </si>
  <si>
    <t>3010</t>
  </si>
  <si>
    <t>ADRIEL DE OLIVEIRA FERNANDES</t>
  </si>
  <si>
    <t>1012</t>
  </si>
  <si>
    <t>Agata Ninfa Teles Barros</t>
  </si>
  <si>
    <t>1706</t>
  </si>
  <si>
    <r>
      <rPr>
        <rFont val="Arial"/>
        <color theme="1"/>
        <sz val="10.0"/>
      </rPr>
      <t>JOSE TIAGO LIRA MACEDO</t>
    </r>
  </si>
  <si>
    <t>aluir henrique</t>
  </si>
  <si>
    <t>1729</t>
  </si>
  <si>
    <t>2412</t>
  </si>
  <si>
    <t>3011</t>
  </si>
  <si>
    <t>alyne carolina ropelato pacheco</t>
  </si>
  <si>
    <t>2307</t>
  </si>
  <si>
    <t>Andre Felipe Sartorelli</t>
  </si>
  <si>
    <t>1021</t>
  </si>
  <si>
    <t>1506</t>
  </si>
  <si>
    <t>1710</t>
  </si>
  <si>
    <t>2010</t>
  </si>
  <si>
    <t>2212</t>
  </si>
  <si>
    <t>CARLA REGINA SIMAO SODRE</t>
  </si>
  <si>
    <t>1017</t>
  </si>
  <si>
    <t>carlos alexandre almeida de souza</t>
  </si>
  <si>
    <t>0905</t>
  </si>
  <si>
    <t>Cassia Rafaela Keller</t>
  </si>
  <si>
    <t>0907</t>
  </si>
  <si>
    <t>2509</t>
  </si>
  <si>
    <t>Davi Andrade de Paiva</t>
  </si>
  <si>
    <t>0624</t>
  </si>
  <si>
    <t>DIOGO LUIZ ARAUJO</t>
  </si>
  <si>
    <t>0617</t>
  </si>
  <si>
    <t>Fernanda Ferreira Negrao</t>
  </si>
  <si>
    <t>0616</t>
  </si>
  <si>
    <t>francieli pereira</t>
  </si>
  <si>
    <t>2113</t>
  </si>
  <si>
    <r>
      <rPr>
        <rFont val="Arial"/>
        <color theme="1"/>
        <sz val="10.0"/>
      </rPr>
      <t>francieli pereira</t>
    </r>
  </si>
  <si>
    <t>Frederick Augusto Cezar Santos</t>
  </si>
  <si>
    <t>0618</t>
  </si>
  <si>
    <t>0609</t>
  </si>
  <si>
    <t>1507</t>
  </si>
  <si>
    <t>2007</t>
  </si>
  <si>
    <t>2109</t>
  </si>
  <si>
    <t>2205</t>
  </si>
  <si>
    <t>2408</t>
  </si>
  <si>
    <t>gustavo pereira da silva</t>
  </si>
  <si>
    <t>1714</t>
  </si>
  <si>
    <t>2213</t>
  </si>
  <si>
    <t>3105</t>
  </si>
  <si>
    <t>Hidaryane nogueira bento</t>
  </si>
  <si>
    <t>0708</t>
  </si>
  <si>
    <t>0906</t>
  </si>
  <si>
    <r>
      <rPr>
        <rFont val="Arial"/>
        <color theme="1"/>
        <sz val="10.0"/>
      </rPr>
      <t>S F ESTACIONAMENTO DE VEICULOS LTDA</t>
    </r>
  </si>
  <si>
    <t>1713</t>
  </si>
  <si>
    <t>2905</t>
  </si>
  <si>
    <t>IFOODCOM AGENCIA DE RESTAURANTES ONLINE S/A</t>
  </si>
  <si>
    <t>pao e frios taxas</t>
  </si>
  <si>
    <t>Izabelle Araújo de Oliveira</t>
  </si>
  <si>
    <t>0615</t>
  </si>
  <si>
    <r>
      <rPr>
        <rFont val="Arial"/>
        <color theme="1"/>
        <sz val="10.0"/>
      </rPr>
      <t>ADRIEL DE OLIVEIRA FERNANDES</t>
    </r>
  </si>
  <si>
    <r>
      <rPr>
        <rFont val="Arial"/>
        <color theme="1"/>
        <sz val="10.0"/>
      </rPr>
      <t>montzgem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</si>
  <si>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</si>
  <si>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RTC 14/05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</si>
  <si>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</si>
  <si>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L2 15/17 maio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</si>
  <si>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</si>
  <si>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L1 15/16/17 maio</t>
    </r>
  </si>
  <si>
    <t>1605</t>
  </si>
  <si>
    <t>Jackson silva villanova</t>
  </si>
  <si>
    <t>0606</t>
  </si>
  <si>
    <t>0709</t>
  </si>
  <si>
    <t>0805</t>
  </si>
  <si>
    <t>1610</t>
  </si>
  <si>
    <t>2011</t>
  </si>
  <si>
    <t>2115</t>
  </si>
  <si>
    <t>Jessica Rodrigues dos Santos</t>
  </si>
  <si>
    <t>0611</t>
  </si>
  <si>
    <t>3111</t>
  </si>
  <si>
    <t>João Roberto Huk Santos</t>
  </si>
  <si>
    <t>1725</t>
  </si>
  <si>
    <t>joao vitor de oliveira konig</t>
  </si>
  <si>
    <t>1724</t>
  </si>
  <si>
    <t>joel duarte</t>
  </si>
  <si>
    <t>0105</t>
  </si>
  <si>
    <t>1006</t>
  </si>
  <si>
    <t>3005</t>
  </si>
  <si>
    <t>Jordana Gabriela do Sanros Carvalho</t>
  </si>
  <si>
    <t>evento 01/05 L2</t>
  </si>
  <si>
    <t>JOSE TIAGO LIRA MACEDO</t>
  </si>
  <si>
    <t>0613</t>
  </si>
  <si>
    <r>
      <rPr>
        <rFont val="Arial"/>
        <color theme="1"/>
        <sz val="10.0"/>
      </rPr>
      <t>leandro lima</t>
    </r>
  </si>
  <si>
    <r>
      <rPr>
        <rFont val="Arial"/>
        <color theme="1"/>
        <sz val="10.0"/>
      </rPr>
      <t>montagem L1</t>
    </r>
  </si>
  <si>
    <r>
      <rPr>
        <rFont val="Arial"/>
        <color theme="1"/>
        <sz val="10.0"/>
      </rPr>
      <t>RAMALHETE DE MIRRA LOCACOES</t>
    </r>
  </si>
  <si>
    <t>0706</t>
  </si>
  <si>
    <t>1723</t>
  </si>
  <si>
    <t>Kelli samarita de Castro</t>
  </si>
  <si>
    <t>1717</t>
  </si>
  <si>
    <t>2111</t>
  </si>
  <si>
    <t>Kevin Ramos de Camargo Florez</t>
  </si>
  <si>
    <t>0623</t>
  </si>
  <si>
    <t>leandro jean santana benites</t>
  </si>
  <si>
    <t>0908</t>
  </si>
  <si>
    <t>1019</t>
  </si>
  <si>
    <t>leandro lima</t>
  </si>
  <si>
    <t>0605</t>
  </si>
  <si>
    <t>0610</t>
  </si>
  <si>
    <t>1007</t>
  </si>
  <si>
    <t>1609</t>
  </si>
  <si>
    <t>1715</t>
  </si>
  <si>
    <t>2008</t>
  </si>
  <si>
    <t>2110</t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</si>
  <si>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</si>
  <si>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</si>
  <si>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</si>
  <si>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</si>
  <si>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t>2209</t>
  </si>
  <si>
    <t>2306</t>
  </si>
  <si>
    <t>3006</t>
  </si>
  <si>
    <t>3008</t>
  </si>
  <si>
    <t>Luiz Fernando de Jesus Rosa</t>
  </si>
  <si>
    <t>0620</t>
  </si>
  <si>
    <r>
      <rPr>
        <rFont val="Arial"/>
        <color theme="1"/>
        <sz val="10.0"/>
      </rPr>
      <t>VIP Service Personal Locação e Festas Ltda</t>
    </r>
  </si>
  <si>
    <r>
      <rPr>
        <rFont val="Arial"/>
        <color theme="1"/>
        <sz val="10.0"/>
      </rPr>
      <t>mesas evento 20.05</t>
    </r>
  </si>
  <si>
    <t>1505</t>
  </si>
  <si>
    <t>1707</t>
  </si>
  <si>
    <t>2108</t>
  </si>
  <si>
    <t>2211</t>
  </si>
  <si>
    <t>2305</t>
  </si>
  <si>
    <t>3007</t>
  </si>
  <si>
    <t>Márcia Regina de Oliveira</t>
  </si>
  <si>
    <t>0626</t>
  </si>
  <si>
    <t>Maria Geovanna Souza</t>
  </si>
  <si>
    <t>matheus felix de camargo</t>
  </si>
  <si>
    <t>Pamella Cerbelo</t>
  </si>
  <si>
    <t>0110</t>
  </si>
  <si>
    <r>
      <rPr>
        <rFont val="Arial"/>
        <color theme="1"/>
        <sz val="10.0"/>
      </rPr>
      <t>Iswara Indústria e Comércio de Produtos Químicos Ltda</t>
    </r>
  </si>
  <si>
    <r>
      <rPr>
        <rFont val="Arial"/>
        <color theme="1"/>
        <sz val="10.0"/>
      </rPr>
      <t>Iswara Indústria e Comércio de Produtos Químicos Ltda</t>
    </r>
  </si>
  <si>
    <r>
      <rPr>
        <rFont val="Arial"/>
        <color theme="1"/>
        <sz val="10.0"/>
      </rPr>
      <t>Iswara Indústria e Comércio de Produtos Químicos Ltda</t>
    </r>
  </si>
  <si>
    <r>
      <rPr>
        <rFont val="Arial"/>
        <color theme="1"/>
        <sz val="10.0"/>
      </rPr>
      <t>suki martins</t>
    </r>
  </si>
  <si>
    <t>0909</t>
  </si>
  <si>
    <t>Pedro Victor de Vietro Farias</t>
  </si>
  <si>
    <t>raissa ﬂoriano laurindo de souza</t>
  </si>
  <si>
    <t>0106</t>
  </si>
  <si>
    <t>0622</t>
  </si>
  <si>
    <t>1013</t>
  </si>
  <si>
    <t>Rayany Alves</t>
  </si>
  <si>
    <t>0107</t>
  </si>
  <si>
    <t>Renan Maçaneiro</t>
  </si>
  <si>
    <t>1611</t>
  </si>
  <si>
    <t>2012</t>
  </si>
  <si>
    <t>RENATA GIORDANO</t>
  </si>
  <si>
    <t>0612</t>
  </si>
  <si>
    <r>
      <rPr>
        <rFont val="Arial"/>
        <color theme="1"/>
        <sz val="10.0"/>
      </rPr>
      <t>Thaissa cubas ribeiro dos santos</t>
    </r>
  </si>
  <si>
    <t>resinite</t>
  </si>
  <si>
    <t>Ronald de Lima Ferreira</t>
  </si>
  <si>
    <t>0627</t>
  </si>
  <si>
    <t>Stefany taylla souza</t>
  </si>
  <si>
    <t>1716</t>
  </si>
  <si>
    <t>suki martins</t>
  </si>
  <si>
    <t>0629</t>
  </si>
  <si>
    <t>1708</t>
  </si>
  <si>
    <t>2009</t>
  </si>
  <si>
    <r>
      <rPr>
        <rFont val="Arial"/>
        <color theme="1"/>
        <sz val="10.0"/>
      </rPr>
      <t>Heictor Bellato Araujo</t>
    </r>
  </si>
  <si>
    <r>
      <rPr>
        <rFont val="Arial"/>
        <color theme="1"/>
        <sz val="10.0"/>
      </rPr>
      <t>JJ DOS SANTOS DISTRIBUIDORA DE GAS</t>
    </r>
  </si>
  <si>
    <r>
      <rPr>
        <rFont val="Arial"/>
        <color theme="1"/>
        <sz val="10.0"/>
      </rPr>
      <t>gas aquecedor + lareira rtc</t>
    </r>
  </si>
  <si>
    <t>2106</t>
  </si>
  <si>
    <t>Thaissa cubas ribeiro dos santos</t>
  </si>
  <si>
    <t>0705</t>
  </si>
  <si>
    <t>0911</t>
  </si>
  <si>
    <t>2510</t>
  </si>
  <si>
    <t>1016</t>
  </si>
  <si>
    <r>
      <rPr>
        <rFont val="Arial"/>
        <color theme="1"/>
        <sz val="10.0"/>
      </rPr>
      <t>Larissa Ghellere</t>
    </r>
  </si>
  <si>
    <t>BONIFICAÇÃO</t>
  </si>
  <si>
    <r>
      <rPr>
        <rFont val="Arial"/>
        <color theme="1"/>
        <sz val="10.0"/>
      </rPr>
      <t>Larissa Ghellere</t>
    </r>
  </si>
  <si>
    <r>
      <rPr>
        <rFont val="Arial"/>
        <color theme="1"/>
        <sz val="10.0"/>
      </rPr>
      <t>Larissa Ghellere</t>
    </r>
  </si>
  <si>
    <r>
      <rPr>
        <rFont val="Arial"/>
        <color theme="1"/>
        <sz val="10.0"/>
      </rPr>
      <t>MERCADO PAGO.COM REPRESENTACOES LTDA.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</si>
  <si>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</si>
  <si>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</si>
  <si>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</si>
  <si>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</si>
  <si>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</si>
  <si>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t>1721</t>
  </si>
  <si>
    <t>2005</t>
  </si>
  <si>
    <t>2112</t>
  </si>
  <si>
    <t>2409</t>
  </si>
  <si>
    <t>3109</t>
  </si>
  <si>
    <t>Victor Sabino camargo</t>
  </si>
  <si>
    <r>
      <rPr>
        <rFont val="Arial"/>
        <color theme="1"/>
        <sz val="10.0"/>
      </rPr>
      <t>UBER DO BRASIL</t>
    </r>
  </si>
  <si>
    <r>
      <rPr>
        <rFont val="Arial"/>
        <color theme="1"/>
        <sz val="10.0"/>
      </rPr>
      <t>uber maquina fumaca</t>
    </r>
  </si>
  <si>
    <t>1018</t>
  </si>
  <si>
    <t>1606</t>
  </si>
  <si>
    <t>1722</t>
  </si>
  <si>
    <r>
      <rPr>
        <rFont val="Arial"/>
        <color theme="1"/>
        <sz val="10.0"/>
      </rPr>
      <t>GREGORY GASPAR DE F. PROAK</t>
    </r>
  </si>
  <si>
    <r>
      <rPr>
        <rFont val="Arial"/>
        <color theme="1"/>
        <sz val="10.0"/>
      </rPr>
      <t>GREGORY GASPAR DE F. PROAK</t>
    </r>
  </si>
  <si>
    <t>2006</t>
  </si>
  <si>
    <t>2411</t>
  </si>
  <si>
    <t>3110</t>
  </si>
  <si>
    <t>Allan Filho Rafael Camilo Gileade</t>
  </si>
  <si>
    <t>aluguel maquina</t>
  </si>
  <si>
    <r>
      <rPr>
        <rFont val="Arial"/>
        <color theme="1"/>
        <sz val="10.0"/>
      </rPr>
      <t>Gabrielli Santana de Andrade</t>
    </r>
  </si>
  <si>
    <r>
      <rPr>
        <rFont val="Arial"/>
        <color theme="1"/>
        <sz val="10.0"/>
      </rPr>
      <t xml:space="preserve">de fumaca
</t>
    </r>
    <r>
      <rPr>
        <rFont val="Arial"/>
        <color theme="1"/>
        <sz val="10.0"/>
      </rPr>
      <t>2813</t>
    </r>
  </si>
  <si>
    <r>
      <rPr>
        <rFont val="Arial"/>
        <color theme="1"/>
        <sz val="10.0"/>
      </rPr>
      <t>Gabrielli Santana de Andrade</t>
    </r>
  </si>
  <si>
    <r>
      <rPr>
        <rFont val="Arial"/>
        <color theme="1"/>
        <sz val="10.0"/>
      </rPr>
      <t>Gabrielli Santana de Andrade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</si>
  <si>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</si>
  <si>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</si>
  <si>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</si>
  <si>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</si>
  <si>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</si>
  <si>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r>
      <rPr>
        <rFont val="Arial"/>
        <color theme="1"/>
        <sz val="10.0"/>
      </rPr>
      <t>Jordana Gabriela do Sanros Carvalho</t>
    </r>
  </si>
  <si>
    <t xml:space="preserve">Jordana Gabriela do Sanros Carvalho
</t>
  </si>
  <si>
    <r>
      <rPr>
        <rFont val="Arial"/>
        <color theme="1"/>
        <sz val="10.0"/>
      </rPr>
      <t>leandro lima</t>
    </r>
  </si>
  <si>
    <r>
      <rPr>
        <rFont val="Arial"/>
        <color theme="1"/>
        <sz val="10.0"/>
      </rPr>
      <t xml:space="preserve">de fumaca
</t>
    </r>
    <r>
      <rPr>
        <rFont val="Arial"/>
        <color theme="1"/>
        <sz val="10.0"/>
      </rPr>
      <t>2812</t>
    </r>
  </si>
  <si>
    <t>Lumix</t>
  </si>
  <si>
    <t>liquido maquina</t>
  </si>
  <si>
    <t>Victoria Cristina Ferreira da Silva</t>
  </si>
  <si>
    <t>0625</t>
  </si>
  <si>
    <t>william barbosa brandao dos santos</t>
  </si>
  <si>
    <t>2308</t>
  </si>
  <si>
    <t>Daniel Bueno Bettega</t>
  </si>
  <si>
    <t>0405</t>
  </si>
  <si>
    <t>1004</t>
  </si>
  <si>
    <t>20/05 e 23/05</t>
  </si>
  <si>
    <t>99 POP</t>
  </si>
  <si>
    <t>99</t>
  </si>
  <si>
    <t>ALECAR ESTACIONAMENTO</t>
  </si>
  <si>
    <t>estacionamento</t>
  </si>
  <si>
    <t>Auto Posto Agua Verde</t>
  </si>
  <si>
    <t>Combustivel</t>
  </si>
  <si>
    <r>
      <rPr>
        <rFont val="Arial"/>
        <color theme="1"/>
        <sz val="10.0"/>
      </rPr>
      <t>YouDO CAFE</t>
    </r>
  </si>
  <si>
    <r>
      <rPr>
        <rFont val="Arial"/>
        <color theme="1"/>
        <sz val="10.0"/>
      </rPr>
      <t>contrato de cliente</t>
    </r>
  </si>
  <si>
    <t>fretes</t>
  </si>
  <si>
    <t>combustivel</t>
  </si>
  <si>
    <t>combustível</t>
  </si>
  <si>
    <t>Elton Gobi</t>
  </si>
  <si>
    <t>frete perfex</t>
  </si>
  <si>
    <t>UBER DO BRASIL</t>
  </si>
  <si>
    <t>0205</t>
  </si>
  <si>
    <t>entrega cliente</t>
  </si>
  <si>
    <t>frete ramekinsalugados</t>
  </si>
  <si>
    <t>uber cardapui</t>
  </si>
  <si>
    <t>uber rechaud</t>
  </si>
  <si>
    <t>copos havan</t>
  </si>
  <si>
    <t>tacas</t>
  </si>
  <si>
    <r>
      <rPr>
        <rFont val="Arial"/>
        <color theme="1"/>
        <sz val="10.0"/>
      </rPr>
      <t>Heictor Bellato Araujo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</si>
  <si>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</si>
  <si>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</si>
  <si>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</si>
  <si>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alyne carolina ropelato pacheco</t>
    </r>
  </si>
  <si>
    <r>
      <rPr>
        <rFont val="Arial"/>
        <color theme="1"/>
        <sz val="10.0"/>
      </rPr>
      <t>rtc 29/05</t>
    </r>
  </si>
  <si>
    <t>uber assaí</t>
  </si>
  <si>
    <t>uber mercado</t>
  </si>
  <si>
    <t>UTENSILIO BAR</t>
  </si>
  <si>
    <t>utensilio bar</t>
  </si>
  <si>
    <t>Vision Pr Distribuidora Ltda</t>
  </si>
  <si>
    <t>KABUM COMERCIO ELETRONICO S.A.</t>
  </si>
  <si>
    <t>UTENSILIO COZ</t>
  </si>
  <si>
    <t>bateria notabookcoz</t>
  </si>
  <si>
    <r>
      <rPr>
        <rFont val="Arial"/>
        <color theme="1"/>
        <sz val="10.0"/>
      </rPr>
      <t>Stefany taylla souza</t>
    </r>
  </si>
  <si>
    <r>
      <rPr>
        <rFont val="Arial"/>
        <color theme="1"/>
        <sz val="10.0"/>
      </rPr>
      <t>Daiana Aparecida dos Santos</t>
    </r>
  </si>
  <si>
    <r>
      <rPr>
        <rFont val="Arial"/>
        <color theme="1"/>
        <sz val="10.0"/>
      </rPr>
      <t>Vanessa Andreina</t>
    </r>
  </si>
  <si>
    <r>
      <rPr>
        <rFont val="Arial"/>
        <color theme="1"/>
        <sz val="10.0"/>
      </rPr>
      <t>DISTRIBUIDORA PAIOL</t>
    </r>
  </si>
  <si>
    <r>
      <rPr>
        <rFont val="Arial"/>
        <color theme="1"/>
        <sz val="10.0"/>
      </rPr>
      <t>gelo rtc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</si>
  <si>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</si>
  <si>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rtc 30.05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</si>
  <si>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</si>
  <si>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L1 30.05</t>
    </r>
  </si>
  <si>
    <r>
      <rPr>
        <rFont val="Arial"/>
        <color theme="1"/>
        <sz val="10.0"/>
      </rPr>
      <t>suki martins</t>
    </r>
  </si>
  <si>
    <r>
      <rPr>
        <rFont val="Arial"/>
        <color theme="1"/>
        <sz val="10.0"/>
      </rPr>
      <t>L2 30.05</t>
    </r>
  </si>
  <si>
    <r>
      <rPr>
        <rFont val="Arial"/>
        <color theme="1"/>
        <sz val="10.0"/>
      </rPr>
      <t>Vitoria de Oliveira Coelho</t>
    </r>
  </si>
  <si>
    <r>
      <rPr>
        <rFont val="Arial"/>
        <color theme="1"/>
        <sz val="10.0"/>
      </rPr>
      <t>rtc 31.05</t>
    </r>
  </si>
  <si>
    <t>moiashi e manjericao</t>
  </si>
  <si>
    <t>utensilio coz</t>
  </si>
  <si>
    <t>parmesao e manteiga</t>
  </si>
  <si>
    <t>Paula Kimberlly Martins Petrin</t>
  </si>
  <si>
    <t>taxa cozinha 27</t>
  </si>
  <si>
    <t>Sônia de Jesus</t>
  </si>
  <si>
    <t>taxa cozinha sobremesas</t>
  </si>
  <si>
    <t>ads20260601</t>
  </si>
  <si>
    <t>evento 30/06</t>
  </si>
  <si>
    <t>ze dwli</t>
  </si>
  <si>
    <t>Fernanda Cristina Yamawaki</t>
  </si>
  <si>
    <t>luciane vieira dos santos</t>
  </si>
  <si>
    <t>NAIARA THAIS TOALDO PINHEIRO</t>
  </si>
  <si>
    <t>Heictor Bellato Araujo</t>
  </si>
  <si>
    <t>eduardo monteiro pinto</t>
  </si>
  <si>
    <t>Vanessa Andreina</t>
  </si>
  <si>
    <t>Eliana da silva moura</t>
  </si>
  <si>
    <t>louca cozinha</t>
  </si>
  <si>
    <t>Larissa Araujo</t>
  </si>
  <si>
    <t>Agatha Pinheiro</t>
  </si>
  <si>
    <t>texnixo</t>
  </si>
  <si>
    <t>Isabella Anália de Oliveira Beraldo</t>
  </si>
  <si>
    <t>Alessandra Ketlyn sá silva</t>
  </si>
  <si>
    <t>Fabio Bueno Skalecki</t>
  </si>
  <si>
    <t>Juliana Cordova</t>
  </si>
  <si>
    <t>creme de leitr</t>
  </si>
  <si>
    <t>evento 27</t>
  </si>
  <si>
    <t>juliana galerani</t>
  </si>
  <si>
    <t>comida taxas</t>
  </si>
  <si>
    <t>muçarela</t>
  </si>
  <si>
    <t>gelo</t>
  </si>
  <si>
    <t>bar</t>
  </si>
  <si>
    <t>musculo nuggts</t>
  </si>
  <si>
    <t>WMS SUPERMERCADOS DO BRASIL LTDA (CARREFOUR)</t>
  </si>
  <si>
    <t>moyashi</t>
  </si>
  <si>
    <t>lalamoe</t>
  </si>
  <si>
    <t>Governo Federal / Imp. Ret. Forn / PIS-Cofins-CSLL</t>
  </si>
  <si>
    <t>DAS 7/12</t>
  </si>
  <si>
    <t>Governo Federal / Imp. Ret. Venda / Cofins</t>
  </si>
  <si>
    <t>SIMPLES NACIONAL</t>
  </si>
  <si>
    <t>divida ativa</t>
  </si>
  <si>
    <t>bar coca guardanapo</t>
  </si>
  <si>
    <t>taxa cozinha 26/06</t>
  </si>
  <si>
    <t>evento 26</t>
  </si>
  <si>
    <t>eventos 26 e 27</t>
  </si>
  <si>
    <t>mesa antepastos</t>
  </si>
  <si>
    <t>pré preparo 26 e 27</t>
  </si>
  <si>
    <t>mini burguer empanadas chilli</t>
  </si>
  <si>
    <t>carregador notebook cozinha</t>
  </si>
  <si>
    <t>evento 24</t>
  </si>
  <si>
    <t>Arthur Antunes de Sá</t>
  </si>
  <si>
    <t>louca adicional domingo</t>
  </si>
  <si>
    <t>gustavo gabryel de souza roberto</t>
  </si>
  <si>
    <t>calabresa pizza</t>
  </si>
  <si>
    <t>eventos 24</t>
  </si>
  <si>
    <t>resinite creme de leite</t>
  </si>
  <si>
    <t>Iswara Indústria e Comércio de Produtos Químicos Ltda</t>
  </si>
  <si>
    <t>temperos</t>
  </si>
  <si>
    <t>pré preparo evento 24</t>
  </si>
  <si>
    <t>faxina dia 22 e pré preparo 23</t>
  </si>
  <si>
    <t>combust</t>
  </si>
  <si>
    <t>Adriele de fatima machado</t>
  </si>
  <si>
    <t>caue aparecido godofredo</t>
  </si>
  <si>
    <t>Gabriel Henrique Mendonça Bandoria</t>
  </si>
  <si>
    <t>isabel beatriz teixeira alves</t>
  </si>
  <si>
    <t>Lana servantes</t>
  </si>
  <si>
    <t>tqxa cozinha 20</t>
  </si>
  <si>
    <t>taxa cozinha 20</t>
  </si>
  <si>
    <t>forminhas brigadeiro</t>
  </si>
  <si>
    <t>ARMAZEM MUNICIPAL</t>
  </si>
  <si>
    <t>petit four caixinhas</t>
  </si>
  <si>
    <t>evento 20</t>
  </si>
  <si>
    <t>peixaria cia do camarao</t>
  </si>
  <si>
    <t>camarao bobó</t>
  </si>
  <si>
    <t>uber colheres</t>
  </si>
  <si>
    <t>dende</t>
  </si>
  <si>
    <t>janta taxas</t>
  </si>
  <si>
    <t>limao e legumes evento 20</t>
  </si>
  <si>
    <t>taxa sobremesas</t>
  </si>
  <si>
    <t>taxa cozinha 18 e 19</t>
  </si>
  <si>
    <t>taxa cozinha 19</t>
  </si>
  <si>
    <t>via inox varejo e distribuição de utilidades ltda</t>
  </si>
  <si>
    <t>colheres</t>
  </si>
  <si>
    <t>degustação e evento 20</t>
  </si>
  <si>
    <t>CELEIRO MUNICIPAL</t>
  </si>
  <si>
    <t>crostines</t>
  </si>
  <si>
    <t>frete</t>
  </si>
  <si>
    <t>Maria Dolores - Comercio de Artesanatos LTDA</t>
  </si>
  <si>
    <t>pré preparo e degustação</t>
  </si>
  <si>
    <t>Gabrielle de Fatima Ribeiro cubas</t>
  </si>
  <si>
    <t>utensilioz coz colher</t>
  </si>
  <si>
    <t>utensilio coz colher 2</t>
  </si>
  <si>
    <t>utensilio coz colher 3</t>
  </si>
  <si>
    <t>degustação 17/06</t>
  </si>
  <si>
    <t>FARMACIAS E DROGARIA NISSEI</t>
  </si>
  <si>
    <t>primeiros socorros</t>
  </si>
  <si>
    <t>garcom01</t>
  </si>
  <si>
    <t>Steffanie Bertulino Prestes</t>
  </si>
  <si>
    <t>taxa cozinha 13/06</t>
  </si>
  <si>
    <t>louça 13/06</t>
  </si>
  <si>
    <t>Santines Casa de Carnes</t>
  </si>
  <si>
    <t>jnsumo bar</t>
  </si>
  <si>
    <t>insumo salao</t>
  </si>
  <si>
    <t>taxa cozinha 12/06</t>
  </si>
  <si>
    <t>paes coffee</t>
  </si>
  <si>
    <t>maçarico</t>
  </si>
  <si>
    <t>eventon13/06</t>
  </si>
  <si>
    <t>evento 13</t>
  </si>
  <si>
    <t>taxa cozinha 11/06</t>
  </si>
  <si>
    <t>eventos 12 e 13</t>
  </si>
  <si>
    <t>taxa cozinha 10/06</t>
  </si>
  <si>
    <t>eventos 11 e 12</t>
  </si>
  <si>
    <t>eve.tos 10</t>
  </si>
  <si>
    <t>cardapio</t>
  </si>
  <si>
    <t>honorarios contabeis</t>
  </si>
  <si>
    <t>refil etiquetadora</t>
  </si>
  <si>
    <t>refeição taxas</t>
  </si>
  <si>
    <t>María gracia Salazar</t>
  </si>
  <si>
    <t>taxa cozinha 09/06</t>
  </si>
  <si>
    <t>eventos 10 e 11</t>
  </si>
  <si>
    <t>pao sw</t>
  </si>
  <si>
    <t>evento 10/06</t>
  </si>
  <si>
    <t>nozes</t>
  </si>
  <si>
    <t>camarao evento 13/06</t>
  </si>
  <si>
    <t>detergente</t>
  </si>
  <si>
    <t>Marcia camargo</t>
  </si>
  <si>
    <t>louca 10.06</t>
  </si>
  <si>
    <t>eventos 09 e 10</t>
  </si>
  <si>
    <t>veganos</t>
  </si>
  <si>
    <t>Sara Simoes</t>
  </si>
  <si>
    <t>eventos 09/10/11</t>
  </si>
  <si>
    <t>insumos coz</t>
  </si>
  <si>
    <t>paes e maguary</t>
  </si>
  <si>
    <t>CABTEC - ROSANA APARECIDA MIRANDA</t>
  </si>
  <si>
    <t>taxa 05/06</t>
  </si>
  <si>
    <t>taxa cozinha 05/06</t>
  </si>
  <si>
    <t>bruno cassiano</t>
  </si>
  <si>
    <t>louça 05/06</t>
  </si>
  <si>
    <t>vitoria eduarda santos carvalho</t>
  </si>
  <si>
    <t>barbara gabriele santos ferreira</t>
  </si>
  <si>
    <t>amanda guimaraes bastos</t>
  </si>
  <si>
    <t>evento 06/06</t>
  </si>
  <si>
    <t>alface</t>
  </si>
  <si>
    <t>toalhas buffet</t>
  </si>
  <si>
    <t>frete tolhas</t>
  </si>
  <si>
    <t>Jessica Mendes da Silva</t>
  </si>
  <si>
    <t>louca 06/06</t>
  </si>
  <si>
    <t>Beatris Mendes dos Santos</t>
  </si>
  <si>
    <t>entrega teriaky cliente</t>
  </si>
  <si>
    <t>coffee 06/06</t>
  </si>
  <si>
    <t>frigorifico bizinelli Ltda</t>
  </si>
  <si>
    <t>blumenau</t>
  </si>
  <si>
    <t>Belpan Delicatessen Alimentos Ltda</t>
  </si>
  <si>
    <t>folhados</t>
  </si>
  <si>
    <t>Fabiane de Oliveira Beatrice sem gluten</t>
  </si>
  <si>
    <t>comida sem gluten</t>
  </si>
  <si>
    <t>insumo limpeza/bar</t>
  </si>
  <si>
    <t>alcool rechaud</t>
  </si>
  <si>
    <t>alcool gel</t>
  </si>
  <si>
    <t>Gás</t>
  </si>
  <si>
    <t>cozinha</t>
  </si>
  <si>
    <t>toucas enluvas</t>
  </si>
  <si>
    <t>pré preparo e degustaçao 03/06</t>
  </si>
  <si>
    <t>tecnico som</t>
  </si>
  <si>
    <t>pré preparo 04/05</t>
  </si>
  <si>
    <t>degustação e eventos 05 e 06</t>
  </si>
  <si>
    <t>tilápia evento 05 e 06</t>
  </si>
  <si>
    <t>COMERCIO DE PRODUTOS ALIMENTICIOS SLM Ltda</t>
  </si>
  <si>
    <t>emustab e chocolates</t>
  </si>
  <si>
    <t>peito de frango degustação</t>
  </si>
  <si>
    <t>Labortec Consultoria e Treinamento Ltda</t>
  </si>
  <si>
    <t>Brustolin</t>
  </si>
  <si>
    <t>Rafaela Ribeiro</t>
  </si>
  <si>
    <t>S F ESTACIONAMENTO DE VEICULOS LTDA</t>
  </si>
  <si>
    <t>rtc</t>
  </si>
  <si>
    <t>l1</t>
  </si>
  <si>
    <t>montagem</t>
  </si>
  <si>
    <t>THALIA PEDROZO DE LIMA</t>
  </si>
  <si>
    <t>melissa</t>
  </si>
  <si>
    <t>rtc 25.06</t>
  </si>
  <si>
    <t>rtc 27.06</t>
  </si>
  <si>
    <t>RMB SOLUCOES EM AUDIO, VIDEO E ACUSTICA LTDA</t>
  </si>
  <si>
    <t>JJ DOS SANTOS DISTRIBUIDORA DE GAS</t>
  </si>
  <si>
    <t>gas rtc</t>
  </si>
  <si>
    <t>GREGORY GASPAR DE F. PROAK</t>
  </si>
  <si>
    <t>CASA CONEXAO DE MATERIAIS HIDRAULICOS</t>
  </si>
  <si>
    <t>tomada</t>
  </si>
  <si>
    <t>Renato Vietro</t>
  </si>
  <si>
    <t>L1/L2</t>
  </si>
  <si>
    <t>REI DAS FECHADURAS LTDA</t>
  </si>
  <si>
    <t>cadeado estacionamento</t>
  </si>
  <si>
    <t>uber cadeado</t>
  </si>
  <si>
    <t>limpeza</t>
  </si>
  <si>
    <t>VERSATILE DESCARTAVEIS LTDA</t>
  </si>
  <si>
    <t>casa do produtor</t>
  </si>
  <si>
    <t>veneno</t>
  </si>
  <si>
    <t>mesas cliente</t>
  </si>
  <si>
    <t>montagem L1</t>
  </si>
  <si>
    <t>insumo limp</t>
  </si>
  <si>
    <t>RTC 11.06</t>
  </si>
  <si>
    <t>saulo brandao</t>
  </si>
  <si>
    <t>Gabrielli Santana de Andrade</t>
  </si>
  <si>
    <t>L1 e L2</t>
  </si>
  <si>
    <t>cada um</t>
  </si>
  <si>
    <t>rotuladora</t>
  </si>
  <si>
    <t>adriana aparecida da silva</t>
  </si>
  <si>
    <t>L1 faxina</t>
  </si>
  <si>
    <t>Larissa Manosso Cubas</t>
  </si>
  <si>
    <t>L2 10.06</t>
  </si>
  <si>
    <t>L1 08.06</t>
  </si>
  <si>
    <t>montagem L2</t>
  </si>
  <si>
    <t>rtc 06.06</t>
  </si>
  <si>
    <t>faxina L1</t>
  </si>
  <si>
    <t>faxina L2</t>
  </si>
  <si>
    <t>faxina RTC</t>
  </si>
  <si>
    <t>RTC 05.06</t>
  </si>
  <si>
    <t>L2 05.06</t>
  </si>
  <si>
    <t>montagem L1/L2</t>
  </si>
  <si>
    <t>aluguel mesa</t>
  </si>
  <si>
    <t>Larissa Ghellere</t>
  </si>
  <si>
    <t>evento 05.06 e 06.06</t>
  </si>
  <si>
    <t>Parana Equipamentos SA</t>
  </si>
  <si>
    <t>rtc 01.06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</si>
</sst>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mm / yyyy"/>
    <numFmt numFmtId="165" formatCode="[$R$ -416]#,##0.00"/>
    <numFmt numFmtId="166" formatCode="dddd&quot;, &quot;d&quot; / &quot;mm&quot; /&quot;yyyy"/>
    <numFmt numFmtId="167" formatCode="d/m/yyyy"/>
    <numFmt numFmtId="168" formatCode="dd/mm/yyyy"/>
    <numFmt numFmtId="169" formatCode="[$R$ -416]#,##0.0"/>
    <numFmt numFmtId="170" formatCode="[$R$ -416]#,##0"/>
    <numFmt numFmtId="171" formatCode="[$R$]#,##0.00"/>
    <numFmt numFmtId="172" formatCode="0000"/>
    <numFmt numFmtId="173" formatCode="000"/>
    <numFmt numFmtId="174" formatCode="0000000"/>
    <numFmt numFmtId="175" formatCode="000000"/>
    <numFmt numFmtId="176" formatCode="00000000000000"/>
  </numFmts>
  <fonts count="28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rgb="FF000000"/>
      <name val="Helvetica Neue"/>
    </font>
    <font>
      <color theme="1"/>
      <name val="Arial"/>
    </font>
    <font>
      <b/>
      <sz val="9.0"/>
      <color rgb="FF990000"/>
      <name val="Helvetica Neue"/>
    </font>
    <font>
      <b/>
      <sz val="8.0"/>
      <color rgb="FF990000"/>
      <name val="Arial"/>
    </font>
    <font>
      <sz val="8.0"/>
      <color theme="1"/>
      <name val="Helvetica Neue"/>
    </font>
    <font>
      <sz val="8.0"/>
      <color rgb="FF0000FF"/>
      <name val="Helvetica Neue"/>
    </font>
    <font>
      <sz val="8.0"/>
      <color rgb="FF008000"/>
      <name val="Helvetica Neue"/>
    </font>
    <font>
      <sz val="8.0"/>
      <color rgb="FF008000"/>
      <name val="Arial"/>
    </font>
    <font>
      <sz val="8.0"/>
      <color rgb="FF0000FF"/>
      <name val="Arial"/>
    </font>
    <font>
      <sz val="8.0"/>
      <color rgb="FFFF0000"/>
      <name val="Helvetica Neue"/>
    </font>
    <font>
      <sz val="10.0"/>
      <color rgb="FF000000"/>
      <name val="Arial"/>
    </font>
    <font>
      <u/>
      <sz val="8.0"/>
      <color rgb="FF0000FF"/>
      <name val="Helvetica Neue"/>
    </font>
    <font>
      <sz val="8.0"/>
      <color rgb="FFFF0000"/>
      <name val="Arial"/>
    </font>
    <font>
      <b/>
      <sz val="21.0"/>
      <color theme="1"/>
      <name val="Arial"/>
    </font>
    <font/>
    <font>
      <b/>
      <color theme="1"/>
      <name val="Arial"/>
    </font>
    <font>
      <color rgb="FF000000"/>
      <name val="Arial"/>
    </font>
    <font>
      <color rgb="FF0000FF"/>
      <name val="Arial"/>
    </font>
    <font>
      <b/>
      <sz val="12.0"/>
      <color theme="1"/>
      <name val="Arial"/>
    </font>
    <font>
      <sz val="10.0"/>
      <color theme="1"/>
      <name val="Arial"/>
    </font>
    <font>
      <u/>
      <color rgb="FF000000"/>
    </font>
    <font>
      <u/>
      <color rgb="FF0000FF"/>
    </font>
    <font>
      <color theme="1"/>
      <name val="Arial"/>
      <scheme val="minor"/>
    </font>
    <font>
      <sz val="9.0"/>
      <color rgb="FF000000"/>
      <name val="Helvetica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E6E6E6"/>
        <bgColor rgb="FFE6E6E6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Font="1"/>
    <xf borderId="2" fillId="0" fontId="3" numFmtId="0" xfId="0" applyAlignment="1" applyBorder="1" applyFont="1">
      <alignment vertical="bottom"/>
    </xf>
    <xf borderId="3" fillId="0" fontId="3" numFmtId="165" xfId="0" applyAlignment="1" applyBorder="1" applyFont="1" applyNumberFormat="1">
      <alignment horizontal="center" vertical="bottom"/>
    </xf>
    <xf borderId="4" fillId="0" fontId="3" numFmtId="10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3" fillId="2" fontId="3" numFmtId="165" xfId="0" applyAlignment="1" applyBorder="1" applyFont="1" applyNumberForma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4" fillId="0" fontId="3" numFmtId="165" xfId="0" applyAlignment="1" applyBorder="1" applyFont="1" applyNumberFormat="1">
      <alignment vertical="bottom"/>
    </xf>
    <xf borderId="0" fillId="3" fontId="4" numFmtId="165" xfId="0" applyAlignment="1" applyFill="1" applyFont="1" applyNumberFormat="1">
      <alignment horizontal="center"/>
    </xf>
    <xf borderId="4" fillId="0" fontId="3" numFmtId="0" xfId="0" applyAlignment="1" applyBorder="1" applyFont="1">
      <alignment vertical="bottom"/>
    </xf>
    <xf borderId="0" fillId="0" fontId="3" numFmtId="165" xfId="0" applyAlignment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3" fillId="2" fontId="3" numFmtId="165" xfId="0" applyAlignment="1" applyBorder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5" fillId="4" fontId="1" numFmtId="0" xfId="0" applyAlignment="1" applyBorder="1" applyFill="1" applyFont="1">
      <alignment vertical="bottom"/>
    </xf>
    <xf borderId="5" fillId="4" fontId="1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5" fillId="2" fontId="3" numFmtId="0" xfId="0" applyAlignment="1" applyBorder="1" applyFont="1">
      <alignment vertical="bottom"/>
    </xf>
    <xf borderId="5" fillId="2" fontId="3" numFmtId="165" xfId="0" applyAlignment="1" applyBorder="1" applyFont="1" applyNumberFormat="1">
      <alignment vertical="bottom"/>
    </xf>
    <xf borderId="5" fillId="2" fontId="3" numFmtId="165" xfId="0" applyAlignment="1" applyBorder="1" applyFont="1" applyNumberFormat="1">
      <alignment horizontal="center" vertical="bottom"/>
    </xf>
    <xf borderId="5" fillId="5" fontId="3" numFmtId="165" xfId="0" applyAlignment="1" applyBorder="1" applyFill="1" applyFont="1" applyNumberFormat="1">
      <alignment horizontal="center"/>
    </xf>
    <xf borderId="5" fillId="4" fontId="1" numFmtId="0" xfId="0" applyAlignment="1" applyBorder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5" numFmtId="165" xfId="0" applyFont="1" applyNumberFormat="1"/>
    <xf borderId="0" fillId="0" fontId="3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165" xfId="0" applyAlignment="1" applyFont="1" applyNumberFormat="1">
      <alignment horizontal="left"/>
    </xf>
    <xf borderId="0" fillId="0" fontId="6" numFmtId="165" xfId="0" applyAlignment="1" applyFont="1" applyNumberFormat="1">
      <alignment horizontal="right"/>
    </xf>
    <xf borderId="0" fillId="0" fontId="7" numFmtId="165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3" fontId="4" numFmtId="0" xfId="0" applyAlignment="1" applyFont="1">
      <alignment horizontal="left"/>
    </xf>
    <xf borderId="0" fillId="3" fontId="4" numFmtId="167" xfId="0" applyAlignment="1" applyFont="1" applyNumberFormat="1">
      <alignment horizontal="left"/>
    </xf>
    <xf borderId="0" fillId="3" fontId="4" numFmtId="168" xfId="0" applyAlignment="1" applyFont="1" applyNumberFormat="1">
      <alignment horizontal="left"/>
    </xf>
    <xf borderId="0" fillId="6" fontId="4" numFmtId="165" xfId="0" applyAlignment="1" applyFill="1" applyFont="1" applyNumberFormat="1">
      <alignment horizontal="right"/>
    </xf>
    <xf borderId="0" fillId="3" fontId="4" numFmtId="165" xfId="0" applyAlignment="1" applyFont="1" applyNumberFormat="1">
      <alignment horizontal="right"/>
    </xf>
    <xf borderId="0" fillId="6" fontId="9" numFmtId="4" xfId="0" applyAlignment="1" applyFont="1" applyNumberFormat="1">
      <alignment horizontal="center"/>
    </xf>
    <xf borderId="0" fillId="6" fontId="10" numFmtId="4" xfId="0" applyAlignment="1" applyFont="1" applyNumberFormat="1">
      <alignment horizontal="center"/>
    </xf>
    <xf borderId="0" fillId="6" fontId="11" numFmtId="4" xfId="0" applyAlignment="1" applyFont="1" applyNumberFormat="1">
      <alignment horizontal="center" vertical="bottom"/>
    </xf>
    <xf borderId="0" fillId="6" fontId="12" numFmtId="0" xfId="0" applyAlignment="1" applyFont="1">
      <alignment horizontal="center" vertical="bottom"/>
    </xf>
    <xf borderId="0" fillId="3" fontId="10" numFmtId="4" xfId="0" applyAlignment="1" applyFont="1" applyNumberFormat="1">
      <alignment horizontal="center"/>
    </xf>
    <xf borderId="0" fillId="3" fontId="11" numFmtId="169" xfId="0" applyAlignment="1" applyFont="1" applyNumberFormat="1">
      <alignment horizontal="center" vertical="bottom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left"/>
    </xf>
    <xf borderId="0" fillId="6" fontId="4" numFmtId="167" xfId="0" applyAlignment="1" applyFont="1" applyNumberFormat="1">
      <alignment horizontal="left"/>
    </xf>
    <xf borderId="0" fillId="6" fontId="4" numFmtId="168" xfId="0" applyAlignment="1" applyFont="1" applyNumberFormat="1">
      <alignment horizontal="left"/>
    </xf>
    <xf borderId="0" fillId="6" fontId="4" numFmtId="165" xfId="0" applyAlignment="1" applyFont="1" applyNumberFormat="1">
      <alignment horizontal="center"/>
    </xf>
    <xf borderId="0" fillId="6" fontId="12" numFmtId="169" xfId="0" applyAlignment="1" applyFont="1" applyNumberFormat="1">
      <alignment horizontal="center" vertical="bottom"/>
    </xf>
    <xf borderId="0" fillId="0" fontId="5" numFmtId="169" xfId="0" applyAlignment="1" applyFont="1" applyNumberFormat="1">
      <alignment vertical="bottom"/>
    </xf>
    <xf borderId="0" fillId="3" fontId="11" numFmtId="165" xfId="0" applyAlignment="1" applyFont="1" applyNumberFormat="1">
      <alignment horizontal="center" vertical="bottom"/>
    </xf>
    <xf borderId="0" fillId="6" fontId="12" numFmtId="165" xfId="0" applyAlignment="1" applyFont="1" applyNumberFormat="1">
      <alignment horizontal="center" vertical="bottom"/>
    </xf>
    <xf borderId="0" fillId="6" fontId="4" numFmtId="170" xfId="0" applyAlignment="1" applyFont="1" applyNumberFormat="1">
      <alignment horizontal="left"/>
    </xf>
    <xf borderId="0" fillId="3" fontId="9" numFmtId="4" xfId="0" applyAlignment="1" applyFont="1" applyNumberFormat="1">
      <alignment horizontal="center"/>
    </xf>
    <xf borderId="0" fillId="6" fontId="10" numFmtId="4" xfId="0" applyAlignment="1" applyFont="1" applyNumberFormat="1">
      <alignment horizontal="center" vertical="bottom"/>
    </xf>
    <xf borderId="0" fillId="6" fontId="9" numFmtId="165" xfId="0" applyAlignment="1" applyFont="1" applyNumberFormat="1">
      <alignment horizontal="center"/>
    </xf>
    <xf borderId="0" fillId="6" fontId="10" numFmtId="165" xfId="0" applyAlignment="1" applyFont="1" applyNumberFormat="1">
      <alignment horizontal="center"/>
    </xf>
    <xf borderId="0" fillId="3" fontId="13" numFmtId="165" xfId="0" applyAlignment="1" applyFont="1" applyNumberFormat="1">
      <alignment horizontal="center"/>
    </xf>
    <xf borderId="0" fillId="3" fontId="4" numFmtId="4" xfId="0" applyAlignment="1" applyFont="1" applyNumberFormat="1">
      <alignment horizontal="right"/>
    </xf>
    <xf borderId="0" fillId="3" fontId="4" numFmtId="0" xfId="0" applyAlignment="1" applyFont="1">
      <alignment horizontal="right"/>
    </xf>
    <xf borderId="0" fillId="3" fontId="9" numFmtId="165" xfId="0" applyAlignment="1" applyFont="1" applyNumberFormat="1">
      <alignment horizontal="center"/>
    </xf>
    <xf borderId="0" fillId="6" fontId="5" numFmtId="165" xfId="0" applyAlignment="1" applyFont="1" applyNumberFormat="1">
      <alignment vertical="bottom"/>
    </xf>
    <xf borderId="0" fillId="6" fontId="4" numFmtId="4" xfId="0" applyAlignment="1" applyFont="1" applyNumberFormat="1">
      <alignment horizontal="right"/>
    </xf>
    <xf borderId="0" fillId="3" fontId="3" numFmtId="4" xfId="0" applyAlignment="1" applyFont="1" applyNumberFormat="1">
      <alignment horizontal="center" vertical="bottom"/>
    </xf>
    <xf borderId="0" fillId="6" fontId="4" numFmtId="4" xfId="0" applyAlignment="1" applyFont="1" applyNumberFormat="1">
      <alignment horizontal="center"/>
    </xf>
    <xf borderId="0" fillId="3" fontId="4" numFmtId="4" xfId="0" applyAlignment="1" applyFont="1" applyNumberFormat="1">
      <alignment horizontal="center"/>
    </xf>
    <xf borderId="0" fillId="6" fontId="4" numFmtId="10" xfId="0" applyAlignment="1" applyFont="1" applyNumberFormat="1">
      <alignment horizontal="right"/>
    </xf>
    <xf borderId="0" fillId="3" fontId="13" numFmtId="4" xfId="0" applyAlignment="1" applyFont="1" applyNumberFormat="1">
      <alignment horizontal="center"/>
    </xf>
    <xf borderId="0" fillId="3" fontId="5" numFmtId="4" xfId="0" applyAlignment="1" applyFont="1" applyNumberFormat="1">
      <alignment vertical="bottom"/>
    </xf>
    <xf borderId="0" fillId="6" fontId="13" numFmtId="4" xfId="0" applyAlignment="1" applyFont="1" applyNumberFormat="1">
      <alignment horizontal="center"/>
    </xf>
    <xf borderId="0" fillId="3" fontId="5" numFmtId="165" xfId="0" applyAlignment="1" applyFont="1" applyNumberFormat="1">
      <alignment vertical="bottom"/>
    </xf>
    <xf borderId="0" fillId="6" fontId="13" numFmtId="165" xfId="0" applyAlignment="1" applyFont="1" applyNumberFormat="1">
      <alignment horizontal="center"/>
    </xf>
    <xf borderId="0" fillId="0" fontId="5" numFmtId="165" xfId="0" applyAlignment="1" applyFont="1" applyNumberFormat="1">
      <alignment vertical="bottom"/>
    </xf>
    <xf borderId="0" fillId="0" fontId="5" numFmtId="168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14" numFmtId="0" xfId="0" applyFont="1"/>
    <xf borderId="0" fillId="0" fontId="6" numFmtId="165" xfId="0" applyAlignment="1" applyFont="1" applyNumberFormat="1">
      <alignment horizontal="center"/>
    </xf>
    <xf borderId="0" fillId="0" fontId="6" numFmtId="4" xfId="0" applyAlignment="1" applyFont="1" applyNumberFormat="1">
      <alignment horizontal="right"/>
    </xf>
    <xf borderId="0" fillId="3" fontId="6" numFmtId="0" xfId="0" applyAlignment="1" applyFont="1">
      <alignment horizontal="right"/>
    </xf>
    <xf borderId="0" fillId="3" fontId="7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0" fontId="15" numFmtId="0" xfId="0" applyAlignment="1" applyFont="1">
      <alignment horizontal="center"/>
    </xf>
    <xf borderId="0" fillId="7" fontId="11" numFmtId="4" xfId="0" applyAlignment="1" applyFill="1" applyFont="1" applyNumberFormat="1">
      <alignment horizontal="center" vertical="bottom"/>
    </xf>
    <xf borderId="0" fillId="7" fontId="5" numFmtId="0" xfId="0" applyAlignment="1" applyFont="1">
      <alignment vertical="bottom"/>
    </xf>
    <xf borderId="0" fillId="3" fontId="4" numFmtId="170" xfId="0" applyAlignment="1" applyFont="1" applyNumberFormat="1">
      <alignment horizontal="center"/>
    </xf>
    <xf borderId="0" fillId="3" fontId="4" numFmtId="170" xfId="0" applyAlignment="1" applyFont="1" applyNumberFormat="1">
      <alignment horizontal="left"/>
    </xf>
    <xf borderId="0" fillId="3" fontId="12" numFmtId="0" xfId="0" applyAlignment="1" applyFont="1">
      <alignment horizontal="center" vertical="bottom"/>
    </xf>
    <xf borderId="0" fillId="7" fontId="12" numFmtId="4" xfId="0" applyAlignment="1" applyFont="1" applyNumberFormat="1">
      <alignment horizontal="center" vertical="bottom"/>
    </xf>
    <xf borderId="0" fillId="3" fontId="10" numFmtId="165" xfId="0" applyAlignment="1" applyFont="1" applyNumberFormat="1">
      <alignment horizontal="center"/>
    </xf>
    <xf borderId="0" fillId="3" fontId="11" numFmtId="4" xfId="0" applyAlignment="1" applyFont="1" applyNumberFormat="1">
      <alignment horizontal="center" vertical="bottom"/>
    </xf>
    <xf borderId="0" fillId="6" fontId="4" numFmtId="170" xfId="0" applyAlignment="1" applyFont="1" applyNumberFormat="1">
      <alignment horizontal="center"/>
    </xf>
    <xf borderId="0" fillId="7" fontId="16" numFmtId="165" xfId="0" applyAlignment="1" applyFont="1" applyNumberFormat="1">
      <alignment horizontal="center" vertical="bottom"/>
    </xf>
    <xf borderId="0" fillId="3" fontId="16" numFmtId="4" xfId="0" applyAlignment="1" applyFont="1" applyNumberFormat="1">
      <alignment horizontal="center" vertical="bottom"/>
    </xf>
    <xf borderId="0" fillId="6" fontId="4" numFmtId="0" xfId="0" applyAlignment="1" applyFont="1">
      <alignment horizontal="right"/>
    </xf>
    <xf borderId="0" fillId="7" fontId="16" numFmtId="4" xfId="0" applyAlignment="1" applyFont="1" applyNumberFormat="1">
      <alignment horizontal="center" vertical="bottom"/>
    </xf>
    <xf borderId="0" fillId="7" fontId="5" numFmtId="4" xfId="0" applyAlignment="1" applyFont="1" applyNumberFormat="1">
      <alignment vertical="bottom"/>
    </xf>
    <xf borderId="0" fillId="3" fontId="8" numFmtId="0" xfId="0" applyAlignment="1" applyFont="1">
      <alignment horizontal="center"/>
    </xf>
    <xf borderId="0" fillId="7" fontId="8" numFmtId="0" xfId="0" applyAlignment="1" applyFont="1">
      <alignment horizontal="center"/>
    </xf>
    <xf borderId="0" fillId="7" fontId="5" numFmtId="165" xfId="0" applyAlignment="1" applyFont="1" applyNumberFormat="1">
      <alignment vertical="bottom"/>
    </xf>
    <xf borderId="0" fillId="7" fontId="5" numFmtId="168" xfId="0" applyAlignment="1" applyFont="1" applyNumberFormat="1">
      <alignment vertical="bottom"/>
    </xf>
    <xf borderId="0" fillId="7" fontId="5" numFmtId="167" xfId="0" applyAlignment="1" applyFont="1" applyNumberFormat="1">
      <alignment vertical="bottom"/>
    </xf>
    <xf borderId="0" fillId="3" fontId="5" numFmtId="168" xfId="0" applyAlignment="1" applyFont="1" applyNumberFormat="1">
      <alignment vertical="bottom"/>
    </xf>
    <xf borderId="6" fillId="0" fontId="17" numFmtId="0" xfId="0" applyAlignment="1" applyBorder="1" applyFont="1">
      <alignment horizontal="center" shrinkToFit="0" vertical="bottom" wrapText="1"/>
    </xf>
    <xf borderId="7" fillId="0" fontId="18" numFmtId="0" xfId="0" applyBorder="1" applyFont="1"/>
    <xf borderId="5" fillId="0" fontId="19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vertical="bottom"/>
    </xf>
    <xf borderId="2" fillId="0" fontId="5" numFmtId="0" xfId="0" applyAlignment="1" applyBorder="1" applyFont="1">
      <alignment shrinkToFit="0" vertical="bottom" wrapText="1"/>
    </xf>
    <xf borderId="7" fillId="0" fontId="5" numFmtId="165" xfId="0" applyAlignment="1" applyBorder="1" applyFont="1" applyNumberFormat="1">
      <alignment horizontal="right" shrinkToFit="0" vertical="bottom" wrapText="1"/>
    </xf>
    <xf borderId="5" fillId="3" fontId="5" numFmtId="165" xfId="0" applyAlignment="1" applyBorder="1" applyFont="1" applyNumberFormat="1">
      <alignment vertical="bottom"/>
    </xf>
    <xf borderId="5" fillId="8" fontId="5" numFmtId="0" xfId="0" applyAlignment="1" applyBorder="1" applyFill="1" applyFont="1">
      <alignment vertical="bottom"/>
    </xf>
    <xf borderId="5" fillId="8" fontId="19" numFmtId="165" xfId="0" applyAlignment="1" applyBorder="1" applyFont="1" applyNumberFormat="1">
      <alignment horizontal="right" shrinkToFit="0" vertical="bottom" wrapText="1"/>
    </xf>
    <xf borderId="5" fillId="0" fontId="5" numFmtId="165" xfId="0" applyAlignment="1" applyBorder="1" applyFont="1" applyNumberFormat="1">
      <alignment vertical="bottom"/>
    </xf>
    <xf borderId="2" fillId="8" fontId="5" numFmtId="0" xfId="0" applyBorder="1" applyFont="1"/>
    <xf borderId="2" fillId="8" fontId="5" numFmtId="0" xfId="0" applyAlignment="1" applyBorder="1" applyFont="1">
      <alignment vertical="bottom"/>
    </xf>
    <xf borderId="5" fillId="3" fontId="5" numFmtId="165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vertical="bottom"/>
    </xf>
    <xf borderId="7" fillId="3" fontId="5" numFmtId="165" xfId="0" applyAlignment="1" applyBorder="1" applyFont="1" applyNumberFormat="1">
      <alignment horizontal="right" vertical="bottom"/>
    </xf>
    <xf borderId="7" fillId="3" fontId="5" numFmtId="165" xfId="0" applyAlignment="1" applyBorder="1" applyFont="1" applyNumberFormat="1">
      <alignment vertical="bottom"/>
    </xf>
    <xf borderId="3" fillId="8" fontId="19" numFmtId="165" xfId="0" applyAlignment="1" applyBorder="1" applyFont="1" applyNumberFormat="1">
      <alignment horizontal="right" shrinkToFit="0" vertical="bottom" wrapText="1"/>
    </xf>
    <xf borderId="4" fillId="0" fontId="5" numFmtId="0" xfId="0" applyAlignment="1" applyBorder="1" applyFont="1">
      <alignment shrinkToFit="0" vertical="bottom" wrapText="1"/>
    </xf>
    <xf borderId="5" fillId="0" fontId="19" numFmtId="0" xfId="0" applyAlignment="1" applyBorder="1" applyFont="1">
      <alignment shrinkToFit="0" vertical="bottom" wrapText="1"/>
    </xf>
    <xf borderId="3" fillId="0" fontId="5" numFmtId="165" xfId="0" applyAlignment="1" applyBorder="1" applyFont="1" applyNumberFormat="1">
      <alignment vertical="bottom"/>
    </xf>
    <xf borderId="7" fillId="0" fontId="19" numFmtId="165" xfId="0" applyAlignment="1" applyBorder="1" applyFont="1" applyNumberFormat="1">
      <alignment horizontal="right" shrinkToFit="0" vertical="bottom" wrapText="1"/>
    </xf>
    <xf borderId="0" fillId="0" fontId="19" numFmtId="0" xfId="0" applyAlignment="1" applyFont="1">
      <alignment vertical="bottom"/>
    </xf>
    <xf borderId="0" fillId="0" fontId="19" numFmtId="0" xfId="0" applyFont="1"/>
    <xf borderId="5" fillId="0" fontId="5" numFmtId="165" xfId="0" applyAlignment="1" applyBorder="1" applyFont="1" applyNumberFormat="1">
      <alignment horizontal="right" shrinkToFit="0" vertical="bottom" wrapText="1"/>
    </xf>
    <xf borderId="2" fillId="9" fontId="5" numFmtId="0" xfId="0" applyAlignment="1" applyBorder="1" applyFill="1" applyFont="1">
      <alignment shrinkToFit="0" vertical="bottom" wrapText="1"/>
    </xf>
    <xf borderId="3" fillId="9" fontId="5" numFmtId="165" xfId="0" applyAlignment="1" applyBorder="1" applyFont="1" applyNumberFormat="1">
      <alignment horizontal="right" shrinkToFit="0" vertical="bottom" wrapText="1"/>
    </xf>
    <xf borderId="5" fillId="9" fontId="5" numFmtId="0" xfId="0" applyAlignment="1" applyBorder="1" applyFont="1">
      <alignment shrinkToFit="0" vertical="bottom" wrapText="1"/>
    </xf>
    <xf borderId="5" fillId="9" fontId="5" numFmtId="165" xfId="0" applyAlignment="1" applyBorder="1" applyFont="1" applyNumberFormat="1">
      <alignment horizontal="right" shrinkToFit="0" vertical="bottom" wrapText="1"/>
    </xf>
    <xf borderId="7" fillId="9" fontId="5" numFmtId="165" xfId="0" applyAlignment="1" applyBorder="1" applyFont="1" applyNumberFormat="1">
      <alignment horizontal="right" shrinkToFit="0" vertical="bottom" wrapText="1"/>
    </xf>
    <xf borderId="3" fillId="0" fontId="5" numFmtId="165" xfId="0" applyAlignment="1" applyBorder="1" applyFont="1" applyNumberFormat="1">
      <alignment horizontal="right" shrinkToFit="0" vertical="bottom" wrapText="1"/>
    </xf>
    <xf borderId="5" fillId="0" fontId="5" numFmtId="0" xfId="0" applyBorder="1" applyFont="1"/>
    <xf borderId="7" fillId="0" fontId="5" numFmtId="165" xfId="0" applyAlignment="1" applyBorder="1" applyFont="1" applyNumberFormat="1">
      <alignment vertical="bottom"/>
    </xf>
    <xf borderId="5" fillId="9" fontId="5" numFmtId="165" xfId="0" applyAlignment="1" applyBorder="1" applyFont="1" applyNumberFormat="1">
      <alignment vertical="bottom"/>
    </xf>
    <xf borderId="2" fillId="0" fontId="19" numFmtId="0" xfId="0" applyAlignment="1" applyBorder="1" applyFont="1">
      <alignment shrinkToFit="0" vertical="bottom" wrapText="1"/>
    </xf>
    <xf borderId="0" fillId="0" fontId="5" numFmtId="171" xfId="0" applyFont="1" applyNumberFormat="1"/>
    <xf borderId="0" fillId="8" fontId="5" numFmtId="0" xfId="0" applyAlignment="1" applyFont="1">
      <alignment vertical="bottom"/>
    </xf>
    <xf borderId="2" fillId="0" fontId="5" numFmtId="165" xfId="0" applyAlignment="1" applyBorder="1" applyFont="1" applyNumberFormat="1">
      <alignment horizontal="right" shrinkToFit="0" vertical="bottom" wrapText="1"/>
    </xf>
    <xf borderId="2" fillId="0" fontId="5" numFmtId="165" xfId="0" applyAlignment="1" applyBorder="1" applyFont="1" applyNumberFormat="1">
      <alignment vertical="bottom"/>
    </xf>
    <xf borderId="2" fillId="0" fontId="20" numFmtId="0" xfId="0" applyAlignment="1" applyBorder="1" applyFont="1">
      <alignment shrinkToFit="0" vertical="bottom" wrapText="1"/>
    </xf>
    <xf borderId="2" fillId="0" fontId="21" numFmtId="0" xfId="0" applyAlignment="1" applyBorder="1" applyFont="1">
      <alignment shrinkToFit="0" vertical="bottom" wrapText="1"/>
    </xf>
    <xf borderId="5" fillId="0" fontId="22" numFmtId="165" xfId="0" applyAlignment="1" applyBorder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shrinkToFit="0" vertical="bottom" wrapText="1"/>
    </xf>
    <xf borderId="0" fillId="0" fontId="5" numFmtId="0" xfId="0" applyAlignment="1" applyFont="1">
      <alignment horizontal="left" vertical="bottom"/>
    </xf>
    <xf borderId="0" fillId="0" fontId="23" numFmtId="1" xfId="0" applyAlignment="1" applyFont="1" applyNumberFormat="1">
      <alignment vertical="top"/>
    </xf>
    <xf borderId="0" fillId="0" fontId="23" numFmtId="168" xfId="0" applyAlignment="1" applyFont="1" applyNumberFormat="1">
      <alignment vertical="top"/>
    </xf>
    <xf borderId="0" fillId="0" fontId="23" numFmtId="165" xfId="0" applyAlignment="1" applyFont="1" applyNumberFormat="1">
      <alignment vertical="top"/>
    </xf>
    <xf borderId="0" fillId="0" fontId="23" numFmtId="0" xfId="0" applyAlignment="1" applyFont="1">
      <alignment shrinkToFit="0" vertical="top" wrapText="1"/>
    </xf>
    <xf borderId="0" fillId="0" fontId="23" numFmtId="0" xfId="0" applyAlignment="1" applyFont="1">
      <alignment vertical="top"/>
    </xf>
    <xf borderId="0" fillId="0" fontId="23" numFmtId="172" xfId="0" applyAlignment="1" applyFont="1" applyNumberFormat="1">
      <alignment horizontal="left" vertical="top"/>
    </xf>
    <xf borderId="0" fillId="0" fontId="5" numFmtId="0" xfId="0" applyAlignment="1" applyFont="1">
      <alignment horizontal="right" vertical="bottom"/>
    </xf>
    <xf borderId="0" fillId="0" fontId="5" numFmtId="168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left" vertical="bottom"/>
    </xf>
    <xf borderId="0" fillId="0" fontId="5" numFmtId="172" xfId="0" applyAlignment="1" applyFont="1" applyNumberFormat="1">
      <alignment horizontal="left" vertical="bottom"/>
    </xf>
    <xf borderId="0" fillId="0" fontId="23" numFmtId="1" xfId="0" applyFont="1" applyNumberFormat="1"/>
    <xf borderId="0" fillId="0" fontId="23" numFmtId="168" xfId="0" applyFont="1" applyNumberFormat="1"/>
    <xf borderId="0" fillId="0" fontId="23" numFmtId="165" xfId="0" applyFont="1" applyNumberFormat="1"/>
    <xf borderId="0" fillId="0" fontId="23" numFmtId="0" xfId="0" applyAlignment="1" applyFont="1">
      <alignment shrinkToFit="0" wrapText="1"/>
    </xf>
    <xf borderId="0" fillId="0" fontId="23" numFmtId="0" xfId="0" applyAlignment="1" applyFont="1">
      <alignment horizontal="left" shrinkToFit="0" vertical="top" wrapText="1"/>
    </xf>
    <xf borderId="0" fillId="10" fontId="5" numFmtId="0" xfId="0" applyFill="1" applyFont="1"/>
    <xf borderId="0" fillId="0" fontId="5" numFmtId="173" xfId="0" applyAlignment="1" applyFont="1" applyNumberFormat="1">
      <alignment horizontal="left" vertical="bottom"/>
    </xf>
    <xf borderId="0" fillId="0" fontId="23" numFmtId="174" xfId="0" applyAlignment="1" applyFont="1" applyNumberFormat="1">
      <alignment horizontal="left" vertical="top"/>
    </xf>
    <xf borderId="0" fillId="0" fontId="23" numFmtId="175" xfId="0" applyAlignment="1" applyFont="1" applyNumberFormat="1">
      <alignment horizontal="left" vertical="top"/>
    </xf>
    <xf borderId="0" fillId="0" fontId="5" numFmtId="1" xfId="0" applyAlignment="1" applyFont="1" applyNumberFormat="1">
      <alignment vertical="bottom"/>
    </xf>
    <xf borderId="0" fillId="11" fontId="23" numFmtId="0" xfId="0" applyAlignment="1" applyFill="1" applyFont="1">
      <alignment vertical="bottom"/>
    </xf>
    <xf borderId="0" fillId="11" fontId="5" numFmtId="168" xfId="0" applyAlignment="1" applyFont="1" applyNumberFormat="1">
      <alignment horizontal="right" vertical="bottom"/>
    </xf>
    <xf borderId="0" fillId="11" fontId="14" numFmtId="165" xfId="0" applyFont="1" applyNumberFormat="1"/>
    <xf borderId="0" fillId="11" fontId="14" numFmtId="0" xfId="0" applyFont="1"/>
    <xf borderId="0" fillId="11" fontId="5" numFmtId="0" xfId="0" applyAlignment="1" applyFont="1">
      <alignment vertical="bottom"/>
    </xf>
    <xf borderId="0" fillId="11" fontId="23" numFmtId="0" xfId="0" applyAlignment="1" applyFont="1">
      <alignment vertical="top"/>
    </xf>
    <xf borderId="0" fillId="11" fontId="23" numFmtId="0" xfId="0" applyAlignment="1" applyFont="1">
      <alignment horizontal="left" shrinkToFit="0" vertical="top" wrapText="1"/>
    </xf>
    <xf borderId="0" fillId="11" fontId="5" numFmtId="0" xfId="0" applyFont="1"/>
    <xf borderId="0" fillId="11" fontId="5" numFmtId="0" xfId="0" applyAlignment="1" applyFont="1">
      <alignment horizontal="left" vertical="bottom"/>
    </xf>
    <xf borderId="0" fillId="0" fontId="23" numFmtId="1" xfId="0" applyAlignment="1" applyFont="1" applyNumberFormat="1">
      <alignment horizontal="left" vertical="top"/>
    </xf>
    <xf borderId="0" fillId="0" fontId="5" numFmtId="175" xfId="0" applyAlignment="1" applyFont="1" applyNumberFormat="1">
      <alignment horizontal="left" vertical="bottom"/>
    </xf>
    <xf borderId="0" fillId="11" fontId="5" numFmtId="168" xfId="0" applyAlignment="1" applyFont="1" applyNumberFormat="1">
      <alignment vertical="bottom"/>
    </xf>
    <xf borderId="0" fillId="11" fontId="24" numFmtId="0" xfId="0" applyAlignment="1" applyFont="1">
      <alignment horizontal="left"/>
    </xf>
    <xf borderId="0" fillId="11" fontId="25" numFmtId="0" xfId="0" applyAlignment="1" applyFont="1">
      <alignment horizontal="left"/>
    </xf>
    <xf borderId="0" fillId="11" fontId="5" numFmtId="0" xfId="0" applyAlignment="1" applyFont="1">
      <alignment horizontal="left"/>
    </xf>
    <xf borderId="0" fillId="0" fontId="14" numFmtId="165" xfId="0" applyFont="1" applyNumberFormat="1"/>
    <xf borderId="0" fillId="0" fontId="5" numFmtId="176" xfId="0" applyAlignment="1" applyFont="1" applyNumberFormat="1">
      <alignment horizontal="left" vertical="bottom"/>
    </xf>
    <xf borderId="0" fillId="0" fontId="23" numFmtId="0" xfId="0" applyAlignment="1" applyFont="1">
      <alignment vertical="bottom"/>
    </xf>
    <xf borderId="0" fillId="0" fontId="23" numFmtId="168" xfId="0" applyAlignment="1" applyFont="1" applyNumberFormat="1">
      <alignment vertical="bottom"/>
    </xf>
    <xf borderId="0" fillId="0" fontId="23" numFmtId="165" xfId="0" applyAlignment="1" applyFont="1" applyNumberFormat="1">
      <alignment vertical="bottom"/>
    </xf>
    <xf borderId="0" fillId="0" fontId="23" numFmtId="0" xfId="0" applyAlignment="1" applyFont="1">
      <alignment horizontal="left" vertical="bottom"/>
    </xf>
    <xf borderId="0" fillId="0" fontId="23" numFmtId="168" xfId="0" applyAlignment="1" applyFont="1" applyNumberFormat="1">
      <alignment shrinkToFit="0" vertical="top" wrapText="1"/>
    </xf>
    <xf borderId="0" fillId="0" fontId="23" numFmtId="165" xfId="0" applyAlignment="1" applyFont="1" applyNumberFormat="1">
      <alignment shrinkToFit="0" vertical="top" wrapText="1"/>
    </xf>
    <xf borderId="0" fillId="3" fontId="4" numFmtId="0" xfId="0" applyFont="1"/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26" numFmtId="0" xfId="0" applyAlignment="1" applyFont="1">
      <alignment horizontal="center"/>
    </xf>
    <xf borderId="0" fillId="0" fontId="23" numFmtId="1" xfId="0" applyAlignment="1" applyFont="1" applyNumberFormat="1">
      <alignment horizontal="center" readingOrder="0" vertical="top"/>
    </xf>
    <xf borderId="0" fillId="6" fontId="27" numFmtId="168" xfId="0" applyAlignment="1" applyFont="1" applyNumberFormat="1">
      <alignment horizontal="center" readingOrder="0"/>
    </xf>
    <xf borderId="0" fillId="6" fontId="27" numFmtId="0" xfId="0" applyAlignment="1" applyFont="1">
      <alignment horizontal="center" readingOrder="0"/>
    </xf>
    <xf borderId="0" fillId="6" fontId="27" numFmtId="172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23" numFmtId="0" xfId="0" applyAlignment="1" applyFont="1">
      <alignment horizontal="center" vertical="top"/>
    </xf>
    <xf borderId="0" fillId="3" fontId="27" numFmtId="168" xfId="0" applyAlignment="1" applyFont="1" applyNumberFormat="1">
      <alignment horizontal="center" readingOrder="0"/>
    </xf>
    <xf borderId="0" fillId="3" fontId="27" numFmtId="0" xfId="0" applyAlignment="1" applyFont="1">
      <alignment horizontal="center" readingOrder="0"/>
    </xf>
    <xf borderId="0" fillId="3" fontId="27" numFmtId="172" xfId="0" applyAlignment="1" applyFont="1" applyNumberFormat="1">
      <alignment horizontal="center" readingOrder="0"/>
    </xf>
    <xf borderId="0" fillId="6" fontId="27" numFmtId="4" xfId="0" applyAlignment="1" applyFont="1" applyNumberFormat="1">
      <alignment horizontal="center" readingOrder="0"/>
    </xf>
    <xf borderId="0" fillId="6" fontId="27" numFmtId="1" xfId="0" applyAlignment="1" applyFont="1" applyNumberFormat="1">
      <alignment horizontal="center" readingOrder="0"/>
    </xf>
    <xf borderId="0" fillId="3" fontId="27" numFmtId="1" xfId="0" applyAlignment="1" applyFont="1" applyNumberFormat="1">
      <alignment horizontal="center" readingOrder="0"/>
    </xf>
    <xf borderId="0" fillId="3" fontId="27" numFmtId="4" xfId="0" applyAlignment="1" applyFont="1" applyNumberFormat="1">
      <alignment horizontal="center" readingOrder="0"/>
    </xf>
    <xf borderId="0" fillId="10" fontId="5" numFmtId="0" xfId="0" applyAlignment="1" applyFont="1">
      <alignment horizontal="center"/>
    </xf>
    <xf borderId="0" fillId="6" fontId="27" numFmtId="173" xfId="0" applyAlignment="1" applyFont="1" applyNumberFormat="1">
      <alignment horizontal="center" readingOrder="0"/>
    </xf>
    <xf borderId="0" fillId="3" fontId="27" numFmtId="174" xfId="0" applyAlignment="1" applyFont="1" applyNumberFormat="1">
      <alignment horizontal="center" readingOrder="0"/>
    </xf>
    <xf borderId="0" fillId="3" fontId="27" numFmtId="175" xfId="0" applyAlignment="1" applyFont="1" applyNumberFormat="1">
      <alignment horizontal="center" readingOrder="0"/>
    </xf>
    <xf borderId="0" fillId="3" fontId="27" numFmtId="173" xfId="0" applyAlignment="1" applyFont="1" applyNumberFormat="1">
      <alignment horizontal="center" readingOrder="0"/>
    </xf>
    <xf borderId="0" fillId="11" fontId="5" numFmtId="0" xfId="0" applyAlignment="1" applyFont="1">
      <alignment horizontal="center"/>
    </xf>
    <xf borderId="0" fillId="6" fontId="27" numFmtId="175" xfId="0" applyAlignment="1" applyFont="1" applyNumberFormat="1">
      <alignment horizontal="center" readingOrder="0"/>
    </xf>
    <xf borderId="0" fillId="6" fontId="27" numFmtId="176" xfId="0" applyAlignment="1" applyFont="1" applyNumberFormat="1">
      <alignment horizontal="center" readingOrder="0"/>
    </xf>
    <xf borderId="0" fillId="0" fontId="5" numFmtId="1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userpweb.youdobrasil.com.br/contratar/simulacao.php?sim_id=VDBSWk0wNW5QVDA9" TargetMode="External"/><Relationship Id="rId10" Type="http://schemas.openxmlformats.org/officeDocument/2006/relationships/hyperlink" Target="https://userpweb.youdobrasil.com.br/contratar/simulacao.php?sim_id=VFVSQk5VNTNQVDA9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userpweb.youdobrasil.com.br/contratar/simulacao.php?sim_id=VFZSWk1FNTNQVDA9" TargetMode="External"/><Relationship Id="rId1" Type="http://schemas.openxmlformats.org/officeDocument/2006/relationships/hyperlink" Target="https://userpweb.youdobrasil.com.br/contratar/simulacao.php?sim_id=VDFSTk1VNTNQVDA9" TargetMode="External"/><Relationship Id="rId2" Type="http://schemas.openxmlformats.org/officeDocument/2006/relationships/hyperlink" Target="https://userpweb.youdobrasil.com.br/contratar/simulacao.php?sim_id=VFhwRmVVNTNQVDA9" TargetMode="External"/><Relationship Id="rId3" Type="http://schemas.openxmlformats.org/officeDocument/2006/relationships/hyperlink" Target="https://userpweb.youdobrasil.com.br/contratar/simulacao.php?sim_id=VFZSQk1rNTNQVDA9" TargetMode="External"/><Relationship Id="rId4" Type="http://schemas.openxmlformats.org/officeDocument/2006/relationships/hyperlink" Target="https://userpweb.youdobrasil.com.br/contratar/simulacao.php?sim_id=VFhwWk1VNTNQVDA9" TargetMode="External"/><Relationship Id="rId9" Type="http://schemas.openxmlformats.org/officeDocument/2006/relationships/hyperlink" Target="https://userpweb.youdobrasil.com.br/contratar/simulacao.php?sim_id=VGxSak5VNW5QVDA9" TargetMode="External"/><Relationship Id="rId5" Type="http://schemas.openxmlformats.org/officeDocument/2006/relationships/hyperlink" Target="https://userpweb.youdobrasil.com.br/contratar/simulacao.php?sim_id=VFVSRk1VNTNQVDA9" TargetMode="External"/><Relationship Id="rId6" Type="http://schemas.openxmlformats.org/officeDocument/2006/relationships/hyperlink" Target="https://userpweb.youdobrasil.com.br/contratar/simulacao.php?sim_id=VGtSQk5FNTNQVDA9" TargetMode="External"/><Relationship Id="rId7" Type="http://schemas.openxmlformats.org/officeDocument/2006/relationships/hyperlink" Target="https://userpweb.youdobrasil.com.br/contratar/simulacao.php?sim_id=VFZSTk0wNTNQVDA9" TargetMode="External"/><Relationship Id="rId8" Type="http://schemas.openxmlformats.org/officeDocument/2006/relationships/hyperlink" Target="https://userpweb.youdobrasil.com.br/contratar/simulacao.php?sim_id=VG1wak5VNW5QVDA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userpweb.youdobrasil.com.br/locacoes/1778867574237.jpg" TargetMode="External"/><Relationship Id="rId2" Type="http://schemas.openxmlformats.org/officeDocument/2006/relationships/hyperlink" Target="https://userpweb.youdobrasil.com.br/locacoes/1778867574237.jpg" TargetMode="External"/><Relationship Id="rId3" Type="http://schemas.openxmlformats.org/officeDocument/2006/relationships/hyperlink" Target="https://userpweb.youdobrasil.com.br/locacoes/1778867308889.jpg" TargetMode="External"/><Relationship Id="rId4" Type="http://schemas.openxmlformats.org/officeDocument/2006/relationships/hyperlink" Target="https://userpweb.youdobrasil.com.br/locacoes/1778866968409.jpg" TargetMode="External"/><Relationship Id="rId5" Type="http://schemas.openxmlformats.org/officeDocument/2006/relationships/hyperlink" Target="https://userpweb.youdobrasil.com.br/locacoes/1778866778336.jpg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3.25"/>
    <col customWidth="1" min="3" max="3" width="14.88"/>
    <col customWidth="1" min="4" max="4" width="13.63"/>
    <col customWidth="1" min="5" max="5" width="19.88"/>
    <col customWidth="1" min="6" max="6" width="11.0"/>
    <col customWidth="1" min="7" max="7" width="14.38"/>
    <col customWidth="1" min="8" max="8" width="19.5"/>
    <col customWidth="1" min="9" max="9" width="15.25"/>
    <col customWidth="1" min="11" max="11" width="23.75"/>
    <col customWidth="1" min="14" max="14" width="27.0"/>
    <col customWidth="1" min="15" max="15" width="15.25"/>
  </cols>
  <sheetData>
    <row r="1" ht="15.75" customHeight="1">
      <c r="A1" s="1"/>
      <c r="B1" s="2"/>
      <c r="C1" s="2"/>
      <c r="D1" s="2" t="s">
        <v>0</v>
      </c>
      <c r="E1" s="3"/>
      <c r="F1" s="4"/>
      <c r="G1" s="5"/>
      <c r="H1" s="4"/>
      <c r="I1" s="4"/>
      <c r="J1" s="5"/>
      <c r="K1" s="4"/>
      <c r="L1" s="6"/>
      <c r="M1" s="5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</v>
      </c>
      <c r="B2" s="8"/>
      <c r="C2" s="8"/>
      <c r="D2" s="8" t="s">
        <v>2</v>
      </c>
      <c r="E2" s="9"/>
      <c r="F2" s="4"/>
      <c r="G2" s="4"/>
      <c r="H2" s="4"/>
      <c r="I2" s="4"/>
      <c r="J2" s="6"/>
      <c r="K2" s="4"/>
      <c r="L2" s="6"/>
      <c r="M2" s="6"/>
      <c r="N2" s="4"/>
      <c r="O2" s="4"/>
      <c r="P2" s="6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 t="s">
        <v>3</v>
      </c>
      <c r="B3" s="11"/>
      <c r="C3" s="11"/>
      <c r="D3" s="12"/>
      <c r="E3" s="13"/>
      <c r="F3" s="4"/>
      <c r="G3" s="4"/>
      <c r="H3" s="4"/>
      <c r="I3" s="4"/>
      <c r="J3" s="6"/>
      <c r="K3" s="4"/>
      <c r="L3" s="6"/>
      <c r="M3" s="6"/>
      <c r="N3" s="4"/>
      <c r="O3" s="4"/>
      <c r="P3" s="6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 t="s">
        <v>4</v>
      </c>
      <c r="B4" s="8"/>
      <c r="C4" s="8"/>
      <c r="D4" s="14"/>
      <c r="E4" s="15"/>
      <c r="F4" s="5"/>
      <c r="G4" s="5"/>
      <c r="H4" s="1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7" t="s">
        <v>5</v>
      </c>
      <c r="B5" s="8"/>
      <c r="C5" s="8"/>
      <c r="D5" s="8">
        <f>SUM('Faturamento L1 e L2'!J27:K27,'Faturamento L1 e L2'!M27,'Faturamento RTC'!J17:K17,'Faturamento RTC'!M17)</f>
        <v>0</v>
      </c>
      <c r="E5" s="15"/>
      <c r="F5" s="5"/>
      <c r="G5" s="5"/>
      <c r="H5" s="1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8"/>
      <c r="C6" s="8"/>
      <c r="D6" s="17"/>
      <c r="E6" s="15"/>
      <c r="F6" s="5"/>
      <c r="G6" s="5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6</v>
      </c>
      <c r="B7" s="11"/>
      <c r="C7" s="11"/>
      <c r="D7" s="11">
        <f>SUM(D8:D9)</f>
        <v>0</v>
      </c>
      <c r="E7" s="15"/>
      <c r="F7" s="4"/>
      <c r="G7" s="4"/>
      <c r="H7" s="4"/>
      <c r="I7" s="4"/>
      <c r="J7" s="6"/>
      <c r="K7" s="4"/>
      <c r="L7" s="6"/>
      <c r="M7" s="6"/>
      <c r="N7" s="4"/>
      <c r="O7" s="4"/>
      <c r="P7" s="6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7</v>
      </c>
      <c r="B8" s="8"/>
      <c r="C8" s="8"/>
      <c r="D8" s="17">
        <f>SUM('Faturamento L1 e L2'!I27,'Faturamento L1 e L2'!L27)</f>
        <v>0</v>
      </c>
      <c r="E8" s="15"/>
      <c r="F8" s="4"/>
      <c r="G8" s="4"/>
      <c r="H8" s="4"/>
      <c r="I8" s="4"/>
      <c r="J8" s="6"/>
      <c r="K8" s="4"/>
      <c r="L8" s="6"/>
      <c r="M8" s="6"/>
      <c r="N8" s="4"/>
      <c r="O8" s="4"/>
      <c r="P8" s="6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8</v>
      </c>
      <c r="B9" s="8"/>
      <c r="C9" s="8"/>
      <c r="D9" s="17">
        <f>SUM('Faturamento RTC'!I17,'Faturamento RTC'!L17)</f>
        <v>0</v>
      </c>
      <c r="E9" s="15"/>
      <c r="F9" s="4"/>
      <c r="G9" s="4"/>
      <c r="H9" s="4"/>
      <c r="I9" s="4"/>
      <c r="J9" s="6"/>
      <c r="K9" s="4"/>
      <c r="L9" s="6"/>
      <c r="M9" s="6"/>
      <c r="N9" s="4"/>
      <c r="O9" s="4"/>
      <c r="P9" s="6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 t="s">
        <v>9</v>
      </c>
      <c r="B10" s="11"/>
      <c r="C10" s="11"/>
      <c r="D10" s="12"/>
      <c r="E10" s="15"/>
      <c r="F10" s="5"/>
      <c r="G10" s="5"/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8"/>
      <c r="B11" s="19"/>
      <c r="C11" s="19"/>
      <c r="D11" s="20"/>
      <c r="E11" s="21"/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0" t="s">
        <v>10</v>
      </c>
      <c r="B12" s="22"/>
      <c r="C12" s="22"/>
      <c r="D12" s="11" t="s">
        <v>2</v>
      </c>
      <c r="E12" s="21"/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0" t="s">
        <v>9</v>
      </c>
      <c r="B13" s="22"/>
      <c r="C13" s="22"/>
      <c r="D13" s="11">
        <f>'GASTOS POR ESPAÇO'!B124</f>
        <v>116271.6486</v>
      </c>
      <c r="E13" s="23"/>
      <c r="F13" s="23"/>
      <c r="G13" s="5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4" t="s">
        <v>11</v>
      </c>
      <c r="B14" s="25"/>
      <c r="C14" s="25"/>
      <c r="D14" s="25">
        <f>D3-D13</f>
        <v>-116271.6486</v>
      </c>
      <c r="E14" s="2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2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8" t="s">
        <v>12</v>
      </c>
      <c r="B17" s="29" t="s">
        <v>13</v>
      </c>
      <c r="C17" s="29" t="s">
        <v>14</v>
      </c>
      <c r="D17" s="30" t="s">
        <v>15</v>
      </c>
      <c r="E17" s="5" t="s">
        <v>16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0" t="s">
        <v>7</v>
      </c>
      <c r="B18" s="22">
        <f t="shared" ref="B18:B19" si="1">D8</f>
        <v>0</v>
      </c>
      <c r="C18" s="11">
        <f>SUM('GASTOS POR ESPAÇO'!E124,'GASTOS POR ESPAÇO'!H124)</f>
        <v>40406.12427</v>
      </c>
      <c r="D18" s="31">
        <f t="shared" ref="D18:D19" si="2">B18-C18</f>
        <v>-40406.12427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0" t="s">
        <v>8</v>
      </c>
      <c r="B19" s="22">
        <f t="shared" si="1"/>
        <v>0</v>
      </c>
      <c r="C19" s="11">
        <f>'GASTOS POR ESPAÇO'!K124</f>
        <v>7923.295133</v>
      </c>
      <c r="D19" s="31">
        <f t="shared" si="2"/>
        <v>-7923.295133</v>
      </c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"/>
      <c r="B20" s="22"/>
      <c r="C20" s="22"/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2" t="s">
        <v>17</v>
      </c>
      <c r="B21" s="25"/>
      <c r="C21" s="25"/>
      <c r="D21" s="25">
        <f>SUM(D18:D19)</f>
        <v>-48329.4194</v>
      </c>
      <c r="E21" s="26"/>
      <c r="F21" s="2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3"/>
      <c r="B22" s="26"/>
      <c r="C22" s="26" t="s">
        <v>18</v>
      </c>
      <c r="D22" s="34">
        <f>D21/3000000</f>
        <v>-0.01610980647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2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0" customHeight="1">
      <c r="A25" s="5"/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35"/>
      <c r="E26" s="1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4.5" customHeight="1">
      <c r="A27" s="5"/>
      <c r="B27" s="5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36">
        <v>62311.0</v>
      </c>
      <c r="C28" s="26"/>
      <c r="D28" s="16"/>
      <c r="E28" s="2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36">
        <v>29284.0</v>
      </c>
      <c r="C29" s="3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36"/>
      <c r="C30" s="26"/>
      <c r="D30" s="16"/>
      <c r="E30" s="2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36">
        <f>SUM(B28:B30)</f>
        <v>91595</v>
      </c>
      <c r="C31" s="26">
        <f>SUM(C18:C19,D13)</f>
        <v>164601.068</v>
      </c>
      <c r="D31" s="16"/>
      <c r="E31" s="2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>
        <v>104000.0</v>
      </c>
      <c r="C32" s="5"/>
      <c r="D32" s="2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2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2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2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2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2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2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2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2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2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2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2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2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2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2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6:D27"/>
    <mergeCell ref="C29:E29"/>
  </mergeCells>
  <conditionalFormatting sqref="H13">
    <cfRule type="cellIs" dxfId="0" priority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3" max="3" width="16.88"/>
    <col customWidth="1" min="6" max="10" width="11.88"/>
    <col customWidth="1" min="11" max="11" width="15.13"/>
    <col customWidth="1" min="12" max="12" width="13.25"/>
    <col customWidth="1" min="13" max="13" width="12.88"/>
    <col customWidth="1" min="14" max="14" width="12.38"/>
    <col customWidth="1" min="15" max="15" width="14.5"/>
    <col customWidth="1" min="16" max="16" width="11.88"/>
    <col customWidth="1" min="17" max="17" width="11.0"/>
    <col customWidth="1" min="18" max="18" width="9.75"/>
    <col customWidth="1" min="19" max="19" width="9.38"/>
  </cols>
  <sheetData>
    <row r="1">
      <c r="A1" s="38"/>
      <c r="B1" s="38"/>
      <c r="C1" s="39"/>
      <c r="D1" s="39"/>
      <c r="E1" s="40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  <c r="R1" s="43"/>
      <c r="S1" s="44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>
      <c r="A2" s="45"/>
      <c r="B2" s="46"/>
      <c r="C2" s="47"/>
      <c r="D2" s="48"/>
      <c r="E2" s="49"/>
      <c r="F2" s="50"/>
      <c r="G2" s="51"/>
      <c r="H2" s="51"/>
      <c r="I2" s="51"/>
      <c r="J2" s="51"/>
      <c r="K2" s="51"/>
      <c r="L2" s="51"/>
      <c r="M2" s="51"/>
      <c r="N2" s="14"/>
      <c r="O2" s="52"/>
      <c r="P2" s="53"/>
      <c r="Q2" s="54"/>
      <c r="R2" s="55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>
      <c r="A3" s="45"/>
      <c r="B3" s="46"/>
      <c r="C3" s="47"/>
      <c r="D3" s="48"/>
      <c r="E3" s="49"/>
      <c r="F3" s="50"/>
      <c r="G3" s="51"/>
      <c r="H3" s="51"/>
      <c r="I3" s="51"/>
      <c r="J3" s="51"/>
      <c r="K3" s="51"/>
      <c r="L3" s="51"/>
      <c r="M3" s="51"/>
      <c r="N3" s="14"/>
      <c r="O3" s="52"/>
      <c r="P3" s="56"/>
      <c r="Q3" s="54"/>
      <c r="R3" s="5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>
      <c r="A4" s="45"/>
      <c r="B4" s="58"/>
      <c r="C4" s="59"/>
      <c r="D4" s="60"/>
      <c r="E4" s="61"/>
      <c r="F4" s="50"/>
      <c r="G4" s="50"/>
      <c r="H4" s="50"/>
      <c r="I4" s="50"/>
      <c r="J4" s="50"/>
      <c r="K4" s="50"/>
      <c r="L4" s="50"/>
      <c r="M4" s="50"/>
      <c r="N4" s="62"/>
      <c r="O4" s="52"/>
      <c r="P4" s="53"/>
      <c r="Q4" s="54"/>
      <c r="R4" s="63"/>
      <c r="S4" s="64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>
      <c r="A5" s="45"/>
      <c r="B5" s="58"/>
      <c r="C5" s="59"/>
      <c r="D5" s="60"/>
      <c r="E5" s="61"/>
      <c r="F5" s="50"/>
      <c r="G5" s="50"/>
      <c r="H5" s="50"/>
      <c r="I5" s="50"/>
      <c r="J5" s="50"/>
      <c r="K5" s="50"/>
      <c r="L5" s="50"/>
      <c r="M5" s="50"/>
      <c r="N5" s="62"/>
      <c r="O5" s="52"/>
      <c r="P5" s="56"/>
      <c r="Q5" s="54"/>
      <c r="R5" s="65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>
      <c r="A6" s="45"/>
      <c r="B6" s="46"/>
      <c r="C6" s="47"/>
      <c r="D6" s="48"/>
      <c r="E6" s="49"/>
      <c r="F6" s="50"/>
      <c r="G6" s="51"/>
      <c r="H6" s="51"/>
      <c r="I6" s="51"/>
      <c r="J6" s="51"/>
      <c r="K6" s="51"/>
      <c r="L6" s="51"/>
      <c r="M6" s="51"/>
      <c r="N6" s="14"/>
      <c r="O6" s="52"/>
      <c r="P6" s="52"/>
      <c r="Q6" s="54"/>
      <c r="R6" s="66"/>
      <c r="S6" s="64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>
      <c r="A7" s="45"/>
      <c r="B7" s="58"/>
      <c r="C7" s="67"/>
      <c r="D7" s="60"/>
      <c r="E7" s="61"/>
      <c r="F7" s="50"/>
      <c r="G7" s="50"/>
      <c r="H7" s="50"/>
      <c r="I7" s="50"/>
      <c r="J7" s="50"/>
      <c r="K7" s="50"/>
      <c r="L7" s="50"/>
      <c r="M7" s="50"/>
      <c r="N7" s="62"/>
      <c r="O7" s="52"/>
      <c r="P7" s="68"/>
      <c r="Q7" s="54"/>
      <c r="R7" s="65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>
      <c r="A8" s="45"/>
      <c r="B8" s="58"/>
      <c r="C8" s="59"/>
      <c r="D8" s="60"/>
      <c r="E8" s="60"/>
      <c r="F8" s="50"/>
      <c r="G8" s="50"/>
      <c r="H8" s="50"/>
      <c r="I8" s="50"/>
      <c r="J8" s="50"/>
      <c r="K8" s="50"/>
      <c r="L8" s="50"/>
      <c r="M8" s="50"/>
      <c r="N8" s="62"/>
      <c r="O8" s="53"/>
      <c r="P8" s="53"/>
      <c r="Q8" s="54"/>
      <c r="R8" s="66"/>
      <c r="S8" s="64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>
      <c r="A9" s="45"/>
      <c r="B9" s="58"/>
      <c r="C9" s="67"/>
      <c r="D9" s="60"/>
      <c r="E9" s="61"/>
      <c r="F9" s="50"/>
      <c r="G9" s="50"/>
      <c r="H9" s="50"/>
      <c r="I9" s="50"/>
      <c r="J9" s="50"/>
      <c r="K9" s="50"/>
      <c r="L9" s="50"/>
      <c r="M9" s="50"/>
      <c r="N9" s="62"/>
      <c r="O9" s="69"/>
      <c r="P9" s="68"/>
      <c r="Q9" s="54"/>
      <c r="R9" s="65"/>
      <c r="S9" s="64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>
      <c r="A10" s="45"/>
      <c r="B10" s="58"/>
      <c r="C10" s="59"/>
      <c r="D10" s="60"/>
      <c r="E10" s="61"/>
      <c r="F10" s="50"/>
      <c r="G10" s="50"/>
      <c r="H10" s="50"/>
      <c r="I10" s="50"/>
      <c r="J10" s="50"/>
      <c r="K10" s="50"/>
      <c r="L10" s="50"/>
      <c r="M10" s="50"/>
      <c r="N10" s="62"/>
      <c r="O10" s="69"/>
      <c r="P10" s="70"/>
      <c r="Q10" s="54"/>
      <c r="R10" s="66"/>
      <c r="S10" s="64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>
      <c r="A11" s="45"/>
      <c r="B11" s="46"/>
      <c r="C11" s="47"/>
      <c r="D11" s="48"/>
      <c r="E11" s="48"/>
      <c r="F11" s="50"/>
      <c r="G11" s="51"/>
      <c r="H11" s="51"/>
      <c r="I11" s="51"/>
      <c r="J11" s="51"/>
      <c r="K11" s="51"/>
      <c r="L11" s="51"/>
      <c r="M11" s="51"/>
      <c r="N11" s="14"/>
      <c r="O11" s="53"/>
      <c r="P11" s="68"/>
      <c r="Q11" s="54"/>
      <c r="R11" s="66"/>
      <c r="S11" s="64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ht="15.75" customHeight="1">
      <c r="A12" s="45"/>
      <c r="B12" s="46"/>
      <c r="C12" s="47"/>
      <c r="D12" s="48"/>
      <c r="E12" s="49"/>
      <c r="F12" s="50"/>
      <c r="G12" s="51"/>
      <c r="H12" s="51"/>
      <c r="I12" s="51"/>
      <c r="J12" s="51"/>
      <c r="K12" s="51"/>
      <c r="L12" s="51"/>
      <c r="M12" s="51"/>
      <c r="N12" s="14"/>
      <c r="O12" s="69"/>
      <c r="P12" s="71"/>
      <c r="Q12" s="54"/>
      <c r="R12" s="66"/>
      <c r="S12" s="64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>
      <c r="A13" s="45"/>
      <c r="B13" s="46"/>
      <c r="C13" s="47"/>
      <c r="D13" s="48"/>
      <c r="E13" s="48"/>
      <c r="F13" s="50"/>
      <c r="G13" s="51"/>
      <c r="H13" s="51"/>
      <c r="I13" s="51"/>
      <c r="J13" s="51"/>
      <c r="K13" s="51"/>
      <c r="L13" s="51"/>
      <c r="M13" s="51"/>
      <c r="N13" s="14"/>
      <c r="O13" s="53"/>
      <c r="P13" s="72"/>
      <c r="Q13" s="54"/>
      <c r="R13" s="66"/>
      <c r="S13" s="64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ht="14.25" customHeight="1">
      <c r="A14" s="45"/>
      <c r="B14" s="58"/>
      <c r="C14" s="59"/>
      <c r="D14" s="60"/>
      <c r="E14" s="60"/>
      <c r="F14" s="50"/>
      <c r="G14" s="50"/>
      <c r="H14" s="50"/>
      <c r="I14" s="50"/>
      <c r="J14" s="50"/>
      <c r="K14" s="50"/>
      <c r="L14" s="50"/>
      <c r="M14" s="50"/>
      <c r="N14" s="62"/>
      <c r="O14" s="53"/>
      <c r="P14" s="70"/>
      <c r="Q14" s="54"/>
      <c r="R14" s="66"/>
      <c r="S14" s="64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>
      <c r="A15" s="45"/>
      <c r="B15" s="46"/>
      <c r="C15" s="47"/>
      <c r="D15" s="48"/>
      <c r="E15" s="48"/>
      <c r="F15" s="51"/>
      <c r="G15" s="51"/>
      <c r="H15" s="73"/>
      <c r="I15" s="74"/>
      <c r="J15" s="51"/>
      <c r="K15" s="51"/>
      <c r="L15" s="51"/>
      <c r="M15" s="51"/>
      <c r="N15" s="14"/>
      <c r="O15" s="53"/>
      <c r="P15" s="75"/>
      <c r="Q15" s="54"/>
      <c r="R15" s="76"/>
      <c r="S15" s="64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>
      <c r="A16" s="45"/>
      <c r="B16" s="58"/>
      <c r="C16" s="59"/>
      <c r="D16" s="60"/>
      <c r="E16" s="60"/>
      <c r="F16" s="50"/>
      <c r="G16" s="50"/>
      <c r="H16" s="50"/>
      <c r="I16" s="50"/>
      <c r="J16" s="50"/>
      <c r="K16" s="50"/>
      <c r="L16" s="50"/>
      <c r="M16" s="50"/>
      <c r="N16" s="62"/>
      <c r="O16" s="53"/>
      <c r="P16" s="70"/>
      <c r="Q16" s="54"/>
      <c r="R16" s="76"/>
      <c r="S16" s="64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>
      <c r="A17" s="45"/>
      <c r="B17" s="46"/>
      <c r="C17" s="47"/>
      <c r="D17" s="48"/>
      <c r="E17" s="48"/>
      <c r="F17" s="51"/>
      <c r="G17" s="51"/>
      <c r="H17" s="73"/>
      <c r="I17" s="73"/>
      <c r="J17" s="51"/>
      <c r="K17" s="51"/>
      <c r="L17" s="51"/>
      <c r="M17" s="51"/>
      <c r="N17" s="14"/>
      <c r="O17" s="53"/>
      <c r="P17" s="72"/>
      <c r="Q17" s="54"/>
      <c r="R17" s="76"/>
      <c r="S17" s="64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>
      <c r="A18" s="45"/>
      <c r="B18" s="58"/>
      <c r="C18" s="59"/>
      <c r="D18" s="60"/>
      <c r="E18" s="60"/>
      <c r="F18" s="50"/>
      <c r="G18" s="50"/>
      <c r="H18" s="77"/>
      <c r="I18" s="77"/>
      <c r="J18" s="50"/>
      <c r="K18" s="50"/>
      <c r="L18" s="50"/>
      <c r="M18" s="50"/>
      <c r="N18" s="62"/>
      <c r="O18" s="53"/>
      <c r="P18" s="71"/>
      <c r="Q18" s="78"/>
      <c r="R18" s="76"/>
      <c r="S18" s="64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>
      <c r="A19" s="45"/>
      <c r="B19" s="46"/>
      <c r="C19" s="47"/>
      <c r="D19" s="48"/>
      <c r="E19" s="47"/>
      <c r="F19" s="51"/>
      <c r="G19" s="59"/>
      <c r="H19" s="50"/>
      <c r="I19" s="50"/>
      <c r="J19" s="51"/>
      <c r="K19" s="51"/>
      <c r="L19" s="51"/>
      <c r="M19" s="51"/>
      <c r="N19" s="14"/>
      <c r="O19" s="53"/>
      <c r="P19" s="75"/>
      <c r="Q19" s="78"/>
      <c r="R19" s="76"/>
      <c r="S19" s="64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</row>
    <row r="20">
      <c r="A20" s="45"/>
      <c r="B20" s="58"/>
      <c r="C20" s="59"/>
      <c r="D20" s="60"/>
      <c r="G20" s="47"/>
      <c r="H20" s="50"/>
      <c r="I20" s="50"/>
      <c r="J20" s="51"/>
      <c r="K20" s="50"/>
      <c r="L20" s="77"/>
      <c r="M20" s="77"/>
      <c r="N20" s="79"/>
      <c r="O20" s="53"/>
      <c r="P20" s="52"/>
      <c r="Q20" s="78"/>
      <c r="R20" s="76"/>
      <c r="S20" s="64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ht="15.75" customHeight="1">
      <c r="A21" s="45"/>
      <c r="B21" s="46"/>
      <c r="C21" s="47"/>
      <c r="D21" s="48"/>
      <c r="G21" s="51"/>
      <c r="H21" s="73"/>
      <c r="I21" s="51"/>
      <c r="J21" s="51"/>
      <c r="K21" s="51"/>
      <c r="L21" s="73"/>
      <c r="M21" s="73"/>
      <c r="N21" s="80"/>
      <c r="O21" s="53"/>
      <c r="P21" s="56"/>
      <c r="Q21" s="78"/>
      <c r="R21" s="76"/>
      <c r="S21" s="64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</row>
    <row r="22" ht="15.75" customHeight="1">
      <c r="A22" s="45"/>
      <c r="B22" s="58"/>
      <c r="C22" s="59"/>
      <c r="D22" s="60"/>
      <c r="E22" s="60"/>
      <c r="F22" s="50"/>
      <c r="G22" s="50"/>
      <c r="H22" s="77"/>
      <c r="I22" s="50"/>
      <c r="J22" s="50"/>
      <c r="K22" s="50"/>
      <c r="L22" s="50"/>
      <c r="M22" s="77"/>
      <c r="N22" s="79"/>
      <c r="O22" s="53"/>
      <c r="P22" s="52"/>
      <c r="Q22" s="78"/>
      <c r="R22" s="76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</row>
    <row r="23" ht="15.75" customHeight="1">
      <c r="A23" s="45"/>
      <c r="B23" s="46"/>
      <c r="C23" s="47"/>
      <c r="D23" s="48"/>
      <c r="E23" s="48"/>
      <c r="F23" s="51"/>
      <c r="G23" s="51"/>
      <c r="H23" s="73"/>
      <c r="I23" s="51"/>
      <c r="J23" s="51"/>
      <c r="K23" s="51"/>
      <c r="L23" s="73"/>
      <c r="M23" s="73"/>
      <c r="N23" s="80"/>
      <c r="O23" s="53"/>
      <c r="P23" s="56"/>
      <c r="Q23" s="78"/>
      <c r="R23" s="76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ht="15.75" customHeight="1">
      <c r="A24" s="45"/>
      <c r="B24" s="58"/>
      <c r="C24" s="59"/>
      <c r="D24" s="60"/>
      <c r="E24" s="60"/>
      <c r="F24" s="50"/>
      <c r="G24" s="81"/>
      <c r="H24" s="77"/>
      <c r="I24" s="77"/>
      <c r="J24" s="77"/>
      <c r="K24" s="77"/>
      <c r="L24" s="77"/>
      <c r="M24" s="77"/>
      <c r="N24" s="79"/>
      <c r="O24" s="53"/>
      <c r="P24" s="52"/>
      <c r="Q24" s="78"/>
      <c r="R24" s="76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ht="15.75" customHeight="1">
      <c r="A25" s="45"/>
      <c r="B25" s="46"/>
      <c r="C25" s="47"/>
      <c r="D25" s="48"/>
      <c r="E25" s="48"/>
      <c r="F25" s="73"/>
      <c r="G25" s="73"/>
      <c r="H25" s="73"/>
      <c r="I25" s="73"/>
      <c r="J25" s="73"/>
      <c r="K25" s="73"/>
      <c r="L25" s="73"/>
      <c r="M25" s="73"/>
      <c r="N25" s="80"/>
      <c r="O25" s="53"/>
      <c r="P25" s="82"/>
      <c r="Q25" s="83"/>
      <c r="R25" s="76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ht="15.75" customHeight="1">
      <c r="A26" s="45"/>
      <c r="B26" s="58"/>
      <c r="C26" s="59"/>
      <c r="D26" s="60"/>
      <c r="E26" s="60"/>
      <c r="F26" s="77"/>
      <c r="G26" s="77"/>
      <c r="H26" s="77"/>
      <c r="I26" s="77"/>
      <c r="J26" s="77"/>
      <c r="K26" s="77"/>
      <c r="L26" s="77"/>
      <c r="M26" s="77"/>
      <c r="N26" s="79"/>
      <c r="O26" s="53"/>
      <c r="P26" s="52"/>
      <c r="Q26" s="83"/>
      <c r="R26" s="76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ht="15.75" customHeight="1">
      <c r="A27" s="45"/>
      <c r="B27" s="46"/>
      <c r="C27" s="47"/>
      <c r="D27" s="48"/>
      <c r="E27" s="48"/>
      <c r="F27" s="73"/>
      <c r="G27" s="73"/>
      <c r="H27" s="73"/>
      <c r="I27" s="73"/>
      <c r="J27" s="73"/>
      <c r="K27" s="73"/>
      <c r="L27" s="73"/>
      <c r="M27" s="73"/>
      <c r="N27" s="80"/>
      <c r="O27" s="53"/>
      <c r="P27" s="68"/>
      <c r="Q27" s="83"/>
      <c r="R27" s="76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ht="15.75" customHeight="1">
      <c r="A28" s="45"/>
      <c r="B28" s="58"/>
      <c r="C28" s="59"/>
      <c r="D28" s="60"/>
      <c r="E28" s="60"/>
      <c r="F28" s="77"/>
      <c r="G28" s="77"/>
      <c r="H28" s="77"/>
      <c r="I28" s="77"/>
      <c r="J28" s="77"/>
      <c r="K28" s="77"/>
      <c r="L28" s="77"/>
      <c r="M28" s="77"/>
      <c r="N28" s="79"/>
      <c r="O28" s="53"/>
      <c r="P28" s="52"/>
      <c r="Q28" s="83"/>
      <c r="R28" s="76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ht="15.75" customHeight="1">
      <c r="A29" s="45"/>
      <c r="B29" s="46"/>
      <c r="C29" s="47"/>
      <c r="D29" s="48"/>
      <c r="E29" s="48"/>
      <c r="F29" s="73"/>
      <c r="G29" s="73"/>
      <c r="H29" s="73"/>
      <c r="I29" s="73"/>
      <c r="J29" s="73"/>
      <c r="K29" s="73"/>
      <c r="L29" s="73"/>
      <c r="M29" s="73"/>
      <c r="N29" s="80"/>
      <c r="O29" s="53"/>
      <c r="P29" s="82"/>
      <c r="Q29" s="83"/>
      <c r="R29" s="76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ht="15.75" customHeight="1">
      <c r="A30" s="45"/>
      <c r="B30" s="58"/>
      <c r="C30" s="59"/>
      <c r="D30" s="60"/>
      <c r="E30" s="60"/>
      <c r="F30" s="77"/>
      <c r="G30" s="77"/>
      <c r="H30" s="77"/>
      <c r="I30" s="77"/>
      <c r="J30" s="77"/>
      <c r="K30" s="77"/>
      <c r="L30" s="77"/>
      <c r="M30" s="77"/>
      <c r="N30" s="79"/>
      <c r="O30" s="53"/>
      <c r="P30" s="84"/>
      <c r="Q30" s="83"/>
      <c r="R30" s="76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ht="15.75" customHeight="1">
      <c r="A31" s="45"/>
      <c r="B31" s="46"/>
      <c r="C31" s="47"/>
      <c r="D31" s="48"/>
      <c r="E31" s="48"/>
      <c r="F31" s="73"/>
      <c r="G31" s="73"/>
      <c r="H31" s="73"/>
      <c r="I31" s="73"/>
      <c r="J31" s="73"/>
      <c r="K31" s="73"/>
      <c r="L31" s="73"/>
      <c r="M31" s="73"/>
      <c r="N31" s="80"/>
      <c r="O31" s="82"/>
      <c r="P31" s="82"/>
      <c r="Q31" s="83"/>
      <c r="R31" s="76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ht="15.75" customHeight="1">
      <c r="A32" s="45"/>
      <c r="B32" s="58"/>
      <c r="C32" s="59"/>
      <c r="D32" s="60"/>
      <c r="E32" s="60"/>
      <c r="F32" s="77"/>
      <c r="G32" s="77"/>
      <c r="H32" s="77"/>
      <c r="I32" s="77"/>
      <c r="J32" s="77"/>
      <c r="K32" s="77"/>
      <c r="L32" s="77"/>
      <c r="M32" s="77"/>
      <c r="N32" s="79"/>
      <c r="O32" s="52"/>
      <c r="P32" s="84"/>
      <c r="Q32" s="83"/>
      <c r="R32" s="76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ht="15.75" customHeight="1">
      <c r="A33" s="45"/>
      <c r="B33" s="46"/>
      <c r="C33" s="47"/>
      <c r="D33" s="48"/>
      <c r="E33" s="48"/>
      <c r="F33" s="73"/>
      <c r="G33" s="73"/>
      <c r="H33" s="73"/>
      <c r="I33" s="73"/>
      <c r="J33" s="73"/>
      <c r="K33" s="73"/>
      <c r="L33" s="73"/>
      <c r="M33" s="73"/>
      <c r="N33" s="80"/>
      <c r="O33" s="82"/>
      <c r="P33" s="68"/>
      <c r="Q33" s="83"/>
      <c r="R33" s="76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ht="15.75" customHeight="1">
      <c r="A34" s="45"/>
      <c r="B34" s="58"/>
      <c r="C34" s="59"/>
      <c r="D34" s="60"/>
      <c r="E34" s="60"/>
      <c r="F34" s="77"/>
      <c r="G34" s="77"/>
      <c r="H34" s="77"/>
      <c r="I34" s="77"/>
      <c r="J34" s="77"/>
      <c r="K34" s="77"/>
      <c r="L34" s="77"/>
      <c r="M34" s="77"/>
      <c r="N34" s="79"/>
      <c r="O34" s="84"/>
      <c r="P34" s="84"/>
      <c r="Q34" s="83"/>
      <c r="R34" s="76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ht="15.75" customHeight="1">
      <c r="A35" s="45"/>
      <c r="B35" s="46"/>
      <c r="C35" s="47"/>
      <c r="D35" s="48"/>
      <c r="E35" s="48"/>
      <c r="F35" s="73"/>
      <c r="G35" s="73"/>
      <c r="H35" s="73"/>
      <c r="I35" s="73"/>
      <c r="J35" s="73"/>
      <c r="K35" s="73"/>
      <c r="L35" s="73"/>
      <c r="M35" s="73"/>
      <c r="N35" s="80"/>
      <c r="O35" s="82"/>
      <c r="P35" s="68"/>
      <c r="Q35" s="83"/>
      <c r="R35" s="76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ht="15.75" customHeight="1">
      <c r="A36" s="45"/>
      <c r="B36" s="58"/>
      <c r="C36" s="59"/>
      <c r="D36" s="60"/>
      <c r="E36" s="60"/>
      <c r="F36" s="77"/>
      <c r="G36" s="77"/>
      <c r="H36" s="77"/>
      <c r="I36" s="77"/>
      <c r="J36" s="77"/>
      <c r="K36" s="77"/>
      <c r="L36" s="77"/>
      <c r="M36" s="77"/>
      <c r="N36" s="79"/>
      <c r="O36" s="84"/>
      <c r="P36" s="52"/>
      <c r="Q36" s="83"/>
      <c r="R36" s="76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ht="15.75" customHeight="1">
      <c r="A37" s="45"/>
      <c r="B37" s="46"/>
      <c r="C37" s="47"/>
      <c r="D37" s="48"/>
      <c r="E37" s="48"/>
      <c r="F37" s="73"/>
      <c r="G37" s="73"/>
      <c r="H37" s="73"/>
      <c r="I37" s="73"/>
      <c r="J37" s="73"/>
      <c r="K37" s="73"/>
      <c r="L37" s="73"/>
      <c r="M37" s="73"/>
      <c r="N37" s="80"/>
      <c r="O37" s="68"/>
      <c r="P37" s="82"/>
      <c r="Q37" s="83"/>
      <c r="R37" s="76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ht="15.75" customHeight="1">
      <c r="A38" s="45"/>
      <c r="B38" s="58"/>
      <c r="C38" s="59"/>
      <c r="D38" s="60"/>
      <c r="E38" s="60"/>
      <c r="F38" s="77"/>
      <c r="G38" s="77"/>
      <c r="H38" s="77"/>
      <c r="I38" s="77"/>
      <c r="J38" s="77"/>
      <c r="K38" s="77"/>
      <c r="L38" s="77"/>
      <c r="M38" s="77"/>
      <c r="N38" s="79"/>
      <c r="O38" s="84"/>
      <c r="P38" s="52"/>
      <c r="Q38" s="83"/>
      <c r="R38" s="76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ht="15.75" customHeight="1">
      <c r="A39" s="45"/>
      <c r="B39" s="46"/>
      <c r="C39" s="47"/>
      <c r="D39" s="48"/>
      <c r="E39" s="48"/>
      <c r="F39" s="73"/>
      <c r="G39" s="73"/>
      <c r="H39" s="73"/>
      <c r="I39" s="73"/>
      <c r="J39" s="73"/>
      <c r="K39" s="73"/>
      <c r="L39" s="73"/>
      <c r="M39" s="73"/>
      <c r="N39" s="80"/>
      <c r="O39" s="82"/>
      <c r="P39" s="82"/>
      <c r="Q39" s="83"/>
      <c r="R39" s="76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ht="15.75" customHeight="1">
      <c r="A40" s="45"/>
      <c r="B40" s="58"/>
      <c r="C40" s="59"/>
      <c r="D40" s="60"/>
      <c r="E40" s="60"/>
      <c r="F40" s="77"/>
      <c r="G40" s="77"/>
      <c r="H40" s="77"/>
      <c r="I40" s="77"/>
      <c r="J40" s="77"/>
      <c r="K40" s="77"/>
      <c r="L40" s="77"/>
      <c r="M40" s="77"/>
      <c r="N40" s="79"/>
      <c r="O40" s="52"/>
      <c r="P40" s="84"/>
      <c r="Q40" s="83"/>
      <c r="R40" s="76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ht="15.75" customHeight="1">
      <c r="A41" s="45"/>
      <c r="B41" s="46"/>
      <c r="C41" s="47"/>
      <c r="D41" s="48"/>
      <c r="E41" s="48"/>
      <c r="F41" s="73"/>
      <c r="G41" s="73"/>
      <c r="H41" s="73"/>
      <c r="I41" s="73"/>
      <c r="J41" s="73"/>
      <c r="K41" s="73"/>
      <c r="L41" s="73"/>
      <c r="M41" s="73"/>
      <c r="N41" s="80"/>
      <c r="O41" s="82"/>
      <c r="P41" s="82"/>
      <c r="Q41" s="83"/>
      <c r="R41" s="76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ht="15.75" customHeight="1">
      <c r="A42" s="45"/>
      <c r="B42" s="58"/>
      <c r="C42" s="59"/>
      <c r="D42" s="60"/>
      <c r="E42" s="60"/>
      <c r="F42" s="77"/>
      <c r="G42" s="77"/>
      <c r="H42" s="77"/>
      <c r="I42" s="77"/>
      <c r="J42" s="77"/>
      <c r="K42" s="77"/>
      <c r="L42" s="77"/>
      <c r="M42" s="77"/>
      <c r="N42" s="79"/>
      <c r="O42" s="84"/>
      <c r="P42" s="84"/>
      <c r="Q42" s="83"/>
      <c r="R42" s="76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ht="15.75" customHeight="1">
      <c r="A43" s="45"/>
      <c r="B43" s="46"/>
      <c r="C43" s="47"/>
      <c r="D43" s="48"/>
      <c r="E43" s="48"/>
      <c r="F43" s="73"/>
      <c r="G43" s="73"/>
      <c r="H43" s="73"/>
      <c r="I43" s="73"/>
      <c r="J43" s="73"/>
      <c r="K43" s="73"/>
      <c r="L43" s="73"/>
      <c r="M43" s="73"/>
      <c r="N43" s="80"/>
      <c r="O43" s="82"/>
      <c r="P43" s="82"/>
      <c r="Q43" s="83"/>
      <c r="R43" s="76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ht="15.75" customHeight="1">
      <c r="A44" s="45"/>
      <c r="B44" s="58"/>
      <c r="C44" s="59"/>
      <c r="D44" s="60"/>
      <c r="E44" s="60"/>
      <c r="F44" s="77"/>
      <c r="G44" s="77"/>
      <c r="H44" s="77"/>
      <c r="I44" s="77"/>
      <c r="J44" s="77"/>
      <c r="K44" s="77"/>
      <c r="L44" s="77"/>
      <c r="M44" s="77"/>
      <c r="N44" s="79"/>
      <c r="O44" s="52"/>
      <c r="P44" s="52"/>
      <c r="Q44" s="83"/>
      <c r="R44" s="76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ht="15.75" customHeight="1">
      <c r="A45" s="45"/>
      <c r="B45" s="46"/>
      <c r="C45" s="47"/>
      <c r="D45" s="48"/>
      <c r="E45" s="48"/>
      <c r="F45" s="73"/>
      <c r="G45" s="73"/>
      <c r="H45" s="73"/>
      <c r="I45" s="73"/>
      <c r="J45" s="73"/>
      <c r="K45" s="73"/>
      <c r="L45" s="73"/>
      <c r="M45" s="73"/>
      <c r="N45" s="80"/>
      <c r="O45" s="82"/>
      <c r="P45" s="82"/>
      <c r="Q45" s="83"/>
      <c r="R45" s="76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ht="15.75" customHeight="1">
      <c r="A46" s="45"/>
      <c r="B46" s="58"/>
      <c r="C46" s="59"/>
      <c r="D46" s="60"/>
      <c r="E46" s="60"/>
      <c r="F46" s="77"/>
      <c r="G46" s="77"/>
      <c r="H46" s="77"/>
      <c r="I46" s="77"/>
      <c r="J46" s="77"/>
      <c r="K46" s="77"/>
      <c r="L46" s="77"/>
      <c r="M46" s="77"/>
      <c r="N46" s="79"/>
      <c r="O46" s="84"/>
      <c r="P46" s="84"/>
      <c r="Q46" s="83"/>
      <c r="R46" s="76"/>
      <c r="S46" s="64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ht="15.75" customHeight="1">
      <c r="A47" s="45"/>
      <c r="B47" s="46"/>
      <c r="C47" s="47"/>
      <c r="D47" s="48"/>
      <c r="E47" s="48"/>
      <c r="F47" s="73"/>
      <c r="G47" s="73"/>
      <c r="H47" s="73"/>
      <c r="I47" s="73"/>
      <c r="J47" s="73"/>
      <c r="K47" s="73"/>
      <c r="L47" s="73"/>
      <c r="M47" s="73"/>
      <c r="N47" s="80"/>
      <c r="O47" s="82"/>
      <c r="P47" s="82"/>
      <c r="Q47" s="83"/>
      <c r="R47" s="76"/>
      <c r="S47" s="64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ht="15.75" customHeight="1">
      <c r="A48" s="45"/>
      <c r="B48" s="58"/>
      <c r="C48" s="59"/>
      <c r="D48" s="60"/>
      <c r="E48" s="60"/>
      <c r="F48" s="77"/>
      <c r="G48" s="77"/>
      <c r="H48" s="77"/>
      <c r="I48" s="77"/>
      <c r="J48" s="77"/>
      <c r="K48" s="77"/>
      <c r="L48" s="77"/>
      <c r="M48" s="77"/>
      <c r="N48" s="79"/>
      <c r="O48" s="84"/>
      <c r="P48" s="84"/>
      <c r="Q48" s="76"/>
      <c r="R48" s="85"/>
      <c r="S48" s="64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ht="15.75" customHeight="1">
      <c r="A49" s="45"/>
      <c r="B49" s="46"/>
      <c r="C49" s="47"/>
      <c r="D49" s="48"/>
      <c r="E49" s="48"/>
      <c r="F49" s="73"/>
      <c r="G49" s="73"/>
      <c r="H49" s="73"/>
      <c r="I49" s="73"/>
      <c r="J49" s="73"/>
      <c r="K49" s="73"/>
      <c r="L49" s="51"/>
      <c r="M49" s="73"/>
      <c r="N49" s="80"/>
      <c r="O49" s="72"/>
      <c r="P49" s="82"/>
      <c r="Q49" s="85"/>
      <c r="R49" s="76"/>
      <c r="S49" s="64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ht="15.75" customHeight="1">
      <c r="A50" s="45"/>
      <c r="B50" s="58"/>
      <c r="C50" s="59"/>
      <c r="D50" s="60"/>
      <c r="E50" s="60"/>
      <c r="F50" s="50"/>
      <c r="G50" s="50"/>
      <c r="H50" s="50"/>
      <c r="I50" s="50"/>
      <c r="J50" s="50"/>
      <c r="K50" s="50"/>
      <c r="L50" s="50"/>
      <c r="M50" s="50"/>
      <c r="N50" s="62"/>
      <c r="O50" s="86"/>
      <c r="P50" s="84"/>
      <c r="Q50" s="76"/>
      <c r="R50" s="85"/>
      <c r="S50" s="64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  <row r="51" ht="15.75" customHeight="1">
      <c r="A51" s="45"/>
      <c r="B51" s="46"/>
      <c r="C51" s="47"/>
      <c r="D51" s="49"/>
      <c r="E51" s="48"/>
      <c r="F51" s="73"/>
      <c r="G51" s="73"/>
      <c r="H51" s="73"/>
      <c r="I51" s="73"/>
      <c r="J51" s="73"/>
      <c r="K51" s="73"/>
      <c r="L51" s="73"/>
      <c r="M51" s="73"/>
      <c r="N51" s="80"/>
      <c r="O51" s="82"/>
      <c r="P51" s="82"/>
      <c r="Q51" s="85"/>
      <c r="R51" s="64"/>
      <c r="S51" s="64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ht="15.75" customHeight="1">
      <c r="A52" s="45"/>
      <c r="B52" s="58"/>
      <c r="C52" s="59"/>
      <c r="D52" s="61"/>
      <c r="E52" s="61"/>
      <c r="F52" s="77"/>
      <c r="G52" s="77"/>
      <c r="H52" s="77"/>
      <c r="I52" s="77"/>
      <c r="J52" s="77"/>
      <c r="K52" s="77"/>
      <c r="L52" s="77"/>
      <c r="M52" s="77"/>
      <c r="N52" s="79"/>
      <c r="O52" s="84"/>
      <c r="P52" s="84"/>
      <c r="Q52" s="76"/>
      <c r="R52" s="64"/>
      <c r="S52" s="64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ht="15.75" customHeight="1">
      <c r="A53" s="45"/>
      <c r="B53" s="46"/>
      <c r="C53" s="47"/>
      <c r="D53" s="49"/>
      <c r="E53" s="49"/>
      <c r="F53" s="51"/>
      <c r="G53" s="51"/>
      <c r="H53" s="51"/>
      <c r="I53" s="51"/>
      <c r="J53" s="51"/>
      <c r="K53" s="51"/>
      <c r="L53" s="73"/>
      <c r="M53" s="73"/>
      <c r="N53" s="80"/>
      <c r="O53" s="82"/>
      <c r="P53" s="82"/>
      <c r="Q53" s="76"/>
      <c r="R53" s="64"/>
      <c r="S53" s="64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ht="15.75" customHeight="1">
      <c r="A54" s="45"/>
      <c r="B54" s="58"/>
      <c r="C54" s="59"/>
      <c r="D54" s="61"/>
      <c r="E54" s="61"/>
      <c r="F54" s="50"/>
      <c r="G54" s="50"/>
      <c r="H54" s="50"/>
      <c r="I54" s="50"/>
      <c r="J54" s="50"/>
      <c r="K54" s="50"/>
      <c r="L54" s="50"/>
      <c r="M54" s="50"/>
      <c r="N54" s="62"/>
      <c r="O54" s="86"/>
      <c r="P54" s="84"/>
      <c r="Q54" s="87"/>
      <c r="R54" s="64"/>
      <c r="S54" s="64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ht="15.75" customHeight="1">
      <c r="A55" s="43"/>
      <c r="B55" s="43"/>
      <c r="C55" s="43"/>
      <c r="D55" s="88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9"/>
      <c r="P55" s="89"/>
      <c r="Q55" s="87"/>
      <c r="R55" s="64"/>
      <c r="S55" s="64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ht="15.75" customHeight="1">
      <c r="A56" s="43"/>
      <c r="B56" s="43"/>
      <c r="C56" s="43"/>
      <c r="D56" s="88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9"/>
      <c r="P56" s="89"/>
      <c r="Q56" s="87"/>
      <c r="R56" s="64"/>
      <c r="S56" s="64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ht="15.75" customHeight="1">
      <c r="A57" s="43"/>
      <c r="B57" s="43"/>
      <c r="C57" s="43"/>
      <c r="D57" s="88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9"/>
      <c r="P57" s="89"/>
      <c r="Q57" s="87"/>
      <c r="R57" s="64"/>
      <c r="S57" s="64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ht="15.75" customHeight="1">
      <c r="A58" s="43"/>
      <c r="B58" s="43"/>
      <c r="C58" s="43"/>
      <c r="D58" s="88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9"/>
      <c r="P58" s="89"/>
      <c r="Q58" s="87"/>
      <c r="R58" s="64"/>
      <c r="S58" s="64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</row>
    <row r="59" ht="15.75" customHeight="1">
      <c r="A59" s="43"/>
      <c r="B59" s="43"/>
      <c r="C59" s="43"/>
      <c r="D59" s="88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9"/>
      <c r="P59" s="89"/>
      <c r="Q59" s="87"/>
      <c r="R59" s="64"/>
      <c r="S59" s="64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ht="15.75" customHeight="1">
      <c r="A60" s="43"/>
      <c r="B60" s="43"/>
      <c r="C60" s="43"/>
      <c r="D60" s="88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9"/>
      <c r="P60" s="89"/>
      <c r="Q60" s="87"/>
      <c r="R60" s="64"/>
      <c r="S60" s="64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ht="15.75" customHeight="1">
      <c r="A61" s="43"/>
      <c r="B61" s="43"/>
      <c r="C61" s="43"/>
      <c r="D61" s="88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9"/>
      <c r="P61" s="89"/>
      <c r="Q61" s="87"/>
      <c r="R61" s="64"/>
      <c r="S61" s="64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ht="15.75" customHeight="1">
      <c r="A62" s="43"/>
      <c r="B62" s="43"/>
      <c r="C62" s="43"/>
      <c r="D62" s="88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9"/>
      <c r="P62" s="89"/>
      <c r="Q62" s="87"/>
      <c r="R62" s="64"/>
      <c r="S62" s="64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</row>
    <row r="63" ht="15.75" customHeight="1">
      <c r="A63" s="43"/>
      <c r="B63" s="43"/>
      <c r="C63" s="43"/>
      <c r="D63" s="88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9"/>
      <c r="P63" s="89"/>
      <c r="Q63" s="87"/>
      <c r="R63" s="64"/>
      <c r="S63" s="64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</row>
    <row r="64" ht="15.75" customHeight="1">
      <c r="A64" s="43"/>
      <c r="B64" s="43"/>
      <c r="C64" s="43"/>
      <c r="D64" s="88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9"/>
      <c r="P64" s="89"/>
      <c r="Q64" s="87"/>
      <c r="R64" s="64"/>
      <c r="S64" s="64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</row>
    <row r="65" ht="15.75" customHeight="1">
      <c r="A65" s="43"/>
      <c r="B65" s="43"/>
      <c r="C65" s="43"/>
      <c r="D65" s="88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9"/>
      <c r="P65" s="89"/>
      <c r="Q65" s="87"/>
      <c r="R65" s="64"/>
      <c r="S65" s="64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</row>
    <row r="66" ht="15.75" customHeight="1">
      <c r="A66" s="43"/>
      <c r="B66" s="43"/>
      <c r="C66" s="43"/>
      <c r="D66" s="88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9"/>
      <c r="P66" s="89"/>
      <c r="Q66" s="87"/>
      <c r="R66" s="64"/>
      <c r="S66" s="64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</row>
    <row r="67" ht="15.75" customHeight="1">
      <c r="A67" s="43"/>
      <c r="B67" s="43"/>
      <c r="C67" s="43"/>
      <c r="D67" s="88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9"/>
      <c r="P67" s="89"/>
      <c r="Q67" s="87"/>
      <c r="R67" s="64"/>
      <c r="S67" s="64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</row>
    <row r="68" ht="15.75" customHeight="1">
      <c r="A68" s="43"/>
      <c r="B68" s="43"/>
      <c r="C68" s="43"/>
      <c r="D68" s="88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9"/>
      <c r="P68" s="89"/>
      <c r="Q68" s="87"/>
      <c r="R68" s="64"/>
      <c r="S68" s="64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</row>
    <row r="69" ht="15.75" customHeight="1">
      <c r="A69" s="43"/>
      <c r="B69" s="43"/>
      <c r="C69" s="43"/>
      <c r="D69" s="90"/>
      <c r="E69" s="90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7"/>
      <c r="R69" s="64"/>
      <c r="S69" s="64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</row>
    <row r="70" ht="15.75" customHeight="1">
      <c r="A70" s="43"/>
      <c r="B70" s="43"/>
      <c r="C70" s="43"/>
      <c r="D70" s="90"/>
      <c r="E70" s="90"/>
      <c r="F70" s="90"/>
      <c r="G70" s="90"/>
      <c r="H70" s="90"/>
      <c r="I70" s="87"/>
      <c r="J70" s="87"/>
      <c r="K70" s="87"/>
      <c r="L70" s="87"/>
      <c r="M70" s="87"/>
      <c r="N70" s="87"/>
      <c r="O70" s="87"/>
      <c r="P70" s="89"/>
      <c r="Q70" s="87"/>
      <c r="R70" s="64"/>
      <c r="S70" s="64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</row>
    <row r="71" ht="15.75" customHeight="1">
      <c r="A71" s="43"/>
      <c r="B71" s="43"/>
      <c r="C71" s="43"/>
      <c r="D71" s="90"/>
      <c r="E71" s="90"/>
      <c r="F71" s="90"/>
      <c r="G71" s="90"/>
      <c r="H71" s="90"/>
      <c r="I71" s="89"/>
      <c r="J71" s="89"/>
      <c r="K71" s="89"/>
      <c r="L71" s="89"/>
      <c r="M71" s="89"/>
      <c r="N71" s="89"/>
      <c r="O71" s="89"/>
      <c r="P71" s="89"/>
      <c r="Q71" s="87"/>
      <c r="R71" s="64"/>
      <c r="S71" s="64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</row>
    <row r="72" ht="15.75" customHeight="1">
      <c r="A72" s="43"/>
      <c r="B72" s="43"/>
      <c r="C72" s="43"/>
      <c r="D72" s="90"/>
      <c r="E72" s="90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7"/>
      <c r="R72" s="64"/>
      <c r="S72" s="64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</row>
    <row r="73" ht="15.75" customHeight="1">
      <c r="A73" s="43"/>
      <c r="B73" s="43"/>
      <c r="C73" s="43"/>
      <c r="D73" s="90"/>
      <c r="E73" s="90"/>
      <c r="F73" s="89"/>
      <c r="G73" s="89"/>
      <c r="H73" s="89"/>
      <c r="I73" s="87"/>
      <c r="J73" s="87"/>
      <c r="K73" s="87"/>
      <c r="L73" s="89"/>
      <c r="M73" s="89"/>
      <c r="N73" s="89"/>
      <c r="O73" s="89"/>
      <c r="P73" s="89"/>
      <c r="Q73" s="87"/>
      <c r="R73" s="64"/>
      <c r="S73" s="64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</row>
    <row r="74" ht="15.75" customHeight="1">
      <c r="A74" s="43"/>
      <c r="B74" s="43"/>
      <c r="C74" s="43"/>
      <c r="D74" s="90"/>
      <c r="E74" s="90"/>
      <c r="F74" s="89"/>
      <c r="G74" s="89"/>
      <c r="H74" s="89"/>
      <c r="I74" s="87"/>
      <c r="J74" s="87"/>
      <c r="K74" s="89"/>
      <c r="L74" s="89"/>
      <c r="M74" s="89"/>
      <c r="N74" s="89"/>
      <c r="O74" s="89"/>
      <c r="P74" s="89"/>
      <c r="Q74" s="87"/>
      <c r="R74" s="64"/>
      <c r="S74" s="64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</row>
    <row r="75" ht="15.75" customHeight="1">
      <c r="A75" s="43"/>
      <c r="B75" s="43"/>
      <c r="C75" s="43"/>
      <c r="D75" s="90"/>
      <c r="E75" s="90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7"/>
      <c r="R75" s="64"/>
      <c r="S75" s="64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</row>
    <row r="76" ht="15.75" customHeight="1">
      <c r="A76" s="43"/>
      <c r="B76" s="43"/>
      <c r="C76" s="43"/>
      <c r="D76" s="90"/>
      <c r="E76" s="90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7"/>
      <c r="R76" s="64"/>
      <c r="S76" s="64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</row>
    <row r="77" ht="15.75" customHeight="1">
      <c r="A77" s="43"/>
      <c r="B77" s="43"/>
      <c r="C77" s="43"/>
      <c r="D77" s="90"/>
      <c r="E77" s="90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7"/>
      <c r="R77" s="64"/>
      <c r="S77" s="64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 ht="15.75" customHeight="1">
      <c r="A78" s="43"/>
      <c r="B78" s="43"/>
      <c r="C78" s="43"/>
      <c r="D78" s="90"/>
      <c r="E78" s="90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7"/>
      <c r="R78" s="64"/>
      <c r="S78" s="64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</row>
    <row r="79" ht="15.75" customHeight="1">
      <c r="A79" s="43"/>
      <c r="B79" s="43"/>
      <c r="C79" s="43"/>
      <c r="D79" s="90"/>
      <c r="E79" s="90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7"/>
      <c r="R79" s="64"/>
      <c r="S79" s="64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</row>
    <row r="80" ht="15.75" customHeight="1">
      <c r="A80" s="43"/>
      <c r="B80" s="43"/>
      <c r="C80" s="43"/>
      <c r="D80" s="90"/>
      <c r="E80" s="90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7"/>
      <c r="R80" s="64"/>
      <c r="S80" s="64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</row>
    <row r="81" ht="15.75" customHeight="1">
      <c r="A81" s="43"/>
      <c r="B81" s="43"/>
      <c r="C81" s="43"/>
      <c r="D81" s="90"/>
      <c r="E81" s="90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7"/>
      <c r="R81" s="64"/>
      <c r="S81" s="64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ht="15.75" customHeight="1">
      <c r="A82" s="43"/>
      <c r="B82" s="43"/>
      <c r="C82" s="43"/>
      <c r="D82" s="90"/>
      <c r="E82" s="90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7"/>
      <c r="R82" s="64"/>
      <c r="S82" s="64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ht="15.75" customHeight="1">
      <c r="A83" s="43"/>
      <c r="B83" s="43"/>
      <c r="C83" s="43"/>
      <c r="D83" s="90"/>
      <c r="E83" s="90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7"/>
      <c r="R83" s="64"/>
      <c r="S83" s="64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ht="15.75" customHeight="1">
      <c r="A84" s="43"/>
      <c r="B84" s="43"/>
      <c r="C84" s="43"/>
      <c r="D84" s="90"/>
      <c r="E84" s="90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7"/>
      <c r="R84" s="64"/>
      <c r="S84" s="64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ht="15.75" customHeight="1">
      <c r="A85" s="43"/>
      <c r="B85" s="43"/>
      <c r="C85" s="43"/>
      <c r="D85" s="90"/>
      <c r="E85" s="90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7"/>
      <c r="R85" s="64"/>
      <c r="S85" s="64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 ht="15.75" customHeight="1">
      <c r="A86" s="43"/>
      <c r="B86" s="43"/>
      <c r="C86" s="43"/>
      <c r="D86" s="90"/>
      <c r="E86" s="90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7"/>
      <c r="R86" s="64"/>
      <c r="S86" s="64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 ht="15.75" customHeight="1">
      <c r="A87" s="43"/>
      <c r="B87" s="43"/>
      <c r="C87" s="43"/>
      <c r="D87" s="90"/>
      <c r="E87" s="90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7"/>
      <c r="R87" s="64"/>
      <c r="S87" s="64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 ht="15.75" customHeight="1">
      <c r="A88" s="43"/>
      <c r="B88" s="43"/>
      <c r="C88" s="43"/>
      <c r="D88" s="90"/>
      <c r="E88" s="90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7"/>
      <c r="R88" s="64"/>
      <c r="S88" s="64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</row>
    <row r="89" ht="15.75" customHeight="1">
      <c r="A89" s="43"/>
      <c r="B89" s="43"/>
      <c r="C89" s="43"/>
      <c r="D89" s="90"/>
      <c r="E89" s="90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7"/>
      <c r="R89" s="64"/>
      <c r="S89" s="64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</row>
    <row r="90" ht="15.75" customHeight="1">
      <c r="A90" s="43"/>
      <c r="B90" s="43"/>
      <c r="C90" s="43"/>
      <c r="D90" s="90"/>
      <c r="E90" s="90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7"/>
      <c r="R90" s="64"/>
      <c r="S90" s="64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 ht="15.75" customHeight="1">
      <c r="A91" s="43"/>
      <c r="B91" s="43"/>
      <c r="C91" s="43"/>
      <c r="D91" s="90"/>
      <c r="E91" s="90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7"/>
      <c r="R91" s="64"/>
      <c r="S91" s="64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 ht="15.75" customHeight="1">
      <c r="A92" s="43"/>
      <c r="B92" s="43"/>
      <c r="C92" s="43"/>
      <c r="D92" s="90"/>
      <c r="E92" s="90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7"/>
      <c r="R92" s="64"/>
      <c r="S92" s="64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 ht="15.75" customHeight="1">
      <c r="A93" s="43"/>
      <c r="B93" s="43"/>
      <c r="C93" s="43"/>
      <c r="D93" s="90"/>
      <c r="E93" s="90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7"/>
      <c r="R93" s="64"/>
      <c r="S93" s="64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 ht="15.75" customHeight="1">
      <c r="A94" s="43"/>
      <c r="B94" s="43"/>
      <c r="C94" s="43"/>
      <c r="D94" s="90"/>
      <c r="E94" s="90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7"/>
      <c r="R94" s="64"/>
      <c r="S94" s="64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 ht="15.75" customHeight="1">
      <c r="A95" s="43"/>
      <c r="B95" s="43"/>
      <c r="C95" s="43"/>
      <c r="D95" s="90"/>
      <c r="E95" s="90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7"/>
      <c r="R95" s="64"/>
      <c r="S95" s="64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 ht="15.75" customHeight="1">
      <c r="A96" s="43"/>
      <c r="B96" s="43"/>
      <c r="C96" s="43"/>
      <c r="D96" s="90"/>
      <c r="E96" s="90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7"/>
      <c r="R96" s="64"/>
      <c r="S96" s="64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 ht="15.75" customHeight="1">
      <c r="A97" s="43"/>
      <c r="B97" s="43"/>
      <c r="C97" s="43"/>
      <c r="D97" s="90"/>
      <c r="E97" s="90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7"/>
      <c r="R97" s="64"/>
      <c r="S97" s="64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 ht="15.75" customHeight="1">
      <c r="A98" s="43"/>
      <c r="B98" s="43"/>
      <c r="C98" s="43"/>
      <c r="D98" s="90"/>
      <c r="E98" s="90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7"/>
      <c r="R98" s="64"/>
      <c r="S98" s="64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 ht="15.75" customHeight="1">
      <c r="A99" s="43"/>
      <c r="B99" s="43"/>
      <c r="C99" s="43"/>
      <c r="D99" s="90"/>
      <c r="E99" s="90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7"/>
      <c r="Q99" s="87"/>
      <c r="R99" s="64"/>
      <c r="S99" s="64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 ht="15.75" customHeight="1">
      <c r="A100" s="43"/>
      <c r="B100" s="43"/>
      <c r="C100" s="43"/>
      <c r="D100" s="90"/>
      <c r="E100" s="90"/>
      <c r="F100" s="89"/>
      <c r="G100" s="89"/>
      <c r="H100" s="89"/>
      <c r="I100" s="89"/>
      <c r="J100" s="89"/>
      <c r="K100" s="87"/>
      <c r="L100" s="89"/>
      <c r="M100" s="89"/>
      <c r="N100" s="87"/>
      <c r="O100" s="89"/>
      <c r="P100" s="87"/>
      <c r="Q100" s="87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 ht="15.75" customHeight="1">
      <c r="A101" s="43"/>
      <c r="B101" s="43"/>
      <c r="C101" s="43"/>
      <c r="D101" s="90"/>
      <c r="E101" s="90"/>
      <c r="F101" s="87"/>
      <c r="G101" s="87"/>
      <c r="H101" s="87"/>
      <c r="I101" s="87"/>
      <c r="J101" s="87"/>
      <c r="K101" s="87"/>
      <c r="L101" s="87"/>
      <c r="M101" s="87"/>
      <c r="N101" s="87"/>
      <c r="O101" s="89"/>
      <c r="P101" s="87"/>
      <c r="Q101" s="87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 ht="15.75" customHeight="1">
      <c r="A102" s="43"/>
      <c r="B102" s="43"/>
      <c r="C102" s="43"/>
      <c r="D102" s="88"/>
      <c r="E102" s="90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 ht="15.75" customHeight="1">
      <c r="A103" s="43"/>
      <c r="B103" s="43"/>
      <c r="C103" s="43"/>
      <c r="D103" s="88"/>
      <c r="E103" s="43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 ht="15.75" customHeight="1">
      <c r="A104" s="43"/>
      <c r="B104" s="43"/>
      <c r="C104" s="43"/>
      <c r="D104" s="88"/>
      <c r="E104" s="43"/>
      <c r="F104" s="87"/>
      <c r="G104" s="87"/>
      <c r="H104" s="87"/>
      <c r="I104" s="87"/>
      <c r="J104" s="87"/>
      <c r="K104" s="89"/>
      <c r="L104" s="89"/>
      <c r="M104" s="89"/>
      <c r="N104" s="89"/>
      <c r="O104" s="89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87"/>
      <c r="J105" s="87"/>
      <c r="K105" s="87"/>
      <c r="L105" s="87"/>
      <c r="M105" s="87"/>
      <c r="N105" s="87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87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87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</row>
    <row r="224" ht="15.75" customHeight="1">
      <c r="C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</row>
    <row r="225" ht="15.75" customHeight="1">
      <c r="C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</row>
    <row r="226" ht="15.75" customHeight="1">
      <c r="C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</row>
    <row r="227" ht="15.75" customHeight="1">
      <c r="C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4">
    <sortState ref="A1:O14">
      <sortCondition ref="O1:O1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9.38"/>
    <col customWidth="1" min="3" max="3" width="24.5"/>
    <col customWidth="1" min="4" max="4" width="11.63"/>
    <col customWidth="1" min="5" max="5" width="13.5"/>
    <col customWidth="1" min="6" max="8" width="10.63"/>
    <col customWidth="1" min="9" max="9" width="13.25"/>
    <col customWidth="1" min="10" max="10" width="10.63"/>
    <col customWidth="1" min="11" max="11" width="15.13"/>
    <col customWidth="1" min="12" max="12" width="13.25"/>
    <col customWidth="1" min="13" max="13" width="12.88"/>
    <col customWidth="1" min="14" max="14" width="12.38"/>
    <col customWidth="1" min="15" max="15" width="14.5"/>
    <col customWidth="1" min="16" max="16" width="7.88"/>
    <col customWidth="1" min="17" max="17" width="9.5"/>
    <col customWidth="1" min="18" max="18" width="15.13"/>
  </cols>
  <sheetData>
    <row r="1">
      <c r="A1" s="38" t="s">
        <v>19</v>
      </c>
      <c r="B1" s="92" t="s">
        <v>20</v>
      </c>
      <c r="C1" s="39" t="s">
        <v>21</v>
      </c>
      <c r="D1" s="39" t="s">
        <v>22</v>
      </c>
      <c r="E1" s="40" t="s">
        <v>23</v>
      </c>
      <c r="F1" s="41"/>
      <c r="G1" s="41" t="s">
        <v>24</v>
      </c>
      <c r="H1" s="41" t="s">
        <v>25</v>
      </c>
      <c r="I1" s="44" t="s">
        <v>26</v>
      </c>
      <c r="J1" s="44" t="s">
        <v>27</v>
      </c>
      <c r="K1" s="44" t="s">
        <v>28</v>
      </c>
      <c r="L1" s="93" t="s">
        <v>29</v>
      </c>
      <c r="M1" s="44" t="s">
        <v>9</v>
      </c>
      <c r="N1" s="44" t="s">
        <v>30</v>
      </c>
      <c r="O1" s="44" t="s">
        <v>31</v>
      </c>
      <c r="P1" s="94"/>
      <c r="Q1" s="95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43"/>
      <c r="AD1" s="43"/>
    </row>
    <row r="2" ht="14.25" customHeight="1">
      <c r="A2" s="97" t="s">
        <v>32</v>
      </c>
      <c r="B2" s="58">
        <v>4981.0</v>
      </c>
      <c r="C2" s="59" t="s">
        <v>33</v>
      </c>
      <c r="D2" s="61">
        <v>46066.0</v>
      </c>
      <c r="E2" s="61">
        <v>46082.0</v>
      </c>
      <c r="F2" s="50">
        <f t="shared" ref="F2:F13" si="1">G2-SUM(H2:L2)</f>
        <v>900</v>
      </c>
      <c r="G2" s="50">
        <v>3000.0</v>
      </c>
      <c r="H2" s="50">
        <v>2100.0</v>
      </c>
      <c r="I2" s="50">
        <v>0.0</v>
      </c>
      <c r="J2" s="50">
        <v>0.0</v>
      </c>
      <c r="K2" s="50">
        <v>0.0</v>
      </c>
      <c r="L2" s="50">
        <v>0.0</v>
      </c>
      <c r="M2" s="50">
        <v>2100.0</v>
      </c>
      <c r="N2" s="62">
        <v>0.0</v>
      </c>
      <c r="O2" s="71" t="s">
        <v>34</v>
      </c>
      <c r="P2" s="53"/>
      <c r="Q2" s="98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43"/>
      <c r="AD2" s="43"/>
    </row>
    <row r="3">
      <c r="A3" s="97" t="s">
        <v>35</v>
      </c>
      <c r="B3" s="100">
        <v>4925.0</v>
      </c>
      <c r="C3" s="101" t="s">
        <v>36</v>
      </c>
      <c r="D3" s="49">
        <v>46050.0</v>
      </c>
      <c r="E3" s="49">
        <v>46088.0</v>
      </c>
      <c r="F3" s="50">
        <f t="shared" si="1"/>
        <v>1111.5</v>
      </c>
      <c r="G3" s="51">
        <v>3736.5</v>
      </c>
      <c r="H3" s="51">
        <f>G3-1111.5</f>
        <v>2625</v>
      </c>
      <c r="I3" s="51">
        <v>0.0</v>
      </c>
      <c r="J3" s="51">
        <v>0.0</v>
      </c>
      <c r="K3" s="51">
        <v>0.0</v>
      </c>
      <c r="L3" s="51">
        <v>0.0</v>
      </c>
      <c r="M3" s="51">
        <v>0.0</v>
      </c>
      <c r="N3" s="14">
        <v>146.0</v>
      </c>
      <c r="O3" s="75" t="s">
        <v>37</v>
      </c>
      <c r="P3" s="56"/>
      <c r="Q3" s="102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43"/>
      <c r="AD3" s="43"/>
    </row>
    <row r="4">
      <c r="A4" s="97" t="s">
        <v>38</v>
      </c>
      <c r="B4" s="58">
        <v>4994.0</v>
      </c>
      <c r="C4" s="59" t="s">
        <v>39</v>
      </c>
      <c r="D4" s="61">
        <v>46073.0</v>
      </c>
      <c r="E4" s="61">
        <v>46089.0</v>
      </c>
      <c r="F4" s="50">
        <f t="shared" si="1"/>
        <v>900</v>
      </c>
      <c r="G4" s="50">
        <v>3000.0</v>
      </c>
      <c r="H4" s="50">
        <v>2100.0</v>
      </c>
      <c r="I4" s="50">
        <v>0.0</v>
      </c>
      <c r="J4" s="50">
        <v>0.0</v>
      </c>
      <c r="K4" s="50">
        <v>0.0</v>
      </c>
      <c r="L4" s="50">
        <v>0.0</v>
      </c>
      <c r="M4" s="50">
        <v>2100.0</v>
      </c>
      <c r="N4" s="62">
        <v>64.0</v>
      </c>
      <c r="O4" s="71" t="s">
        <v>34</v>
      </c>
      <c r="P4" s="53"/>
      <c r="Q4" s="103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43"/>
      <c r="AD4" s="43"/>
    </row>
    <row r="5">
      <c r="A5" s="97" t="s">
        <v>40</v>
      </c>
      <c r="B5" s="46">
        <v>4988.0</v>
      </c>
      <c r="C5" s="47" t="s">
        <v>41</v>
      </c>
      <c r="D5" s="49">
        <v>46071.0</v>
      </c>
      <c r="E5" s="49">
        <v>46091.0</v>
      </c>
      <c r="F5" s="50">
        <f t="shared" si="1"/>
        <v>900</v>
      </c>
      <c r="G5" s="51">
        <v>3000.0</v>
      </c>
      <c r="H5" s="51">
        <v>2100.0</v>
      </c>
      <c r="I5" s="51">
        <v>0.0</v>
      </c>
      <c r="J5" s="51">
        <v>0.0</v>
      </c>
      <c r="K5" s="51">
        <v>0.0</v>
      </c>
      <c r="L5" s="51">
        <v>0.0</v>
      </c>
      <c r="M5" s="51">
        <v>2100.0</v>
      </c>
      <c r="N5" s="14">
        <v>121.0</v>
      </c>
      <c r="O5" s="104" t="s">
        <v>34</v>
      </c>
      <c r="P5" s="56"/>
      <c r="Q5" s="105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43"/>
      <c r="AD5" s="43"/>
    </row>
    <row r="6">
      <c r="A6" s="97" t="s">
        <v>42</v>
      </c>
      <c r="B6" s="58">
        <v>4972.0</v>
      </c>
      <c r="C6" s="59" t="s">
        <v>43</v>
      </c>
      <c r="D6" s="61">
        <v>46065.0</v>
      </c>
      <c r="E6" s="61">
        <v>46092.0</v>
      </c>
      <c r="F6" s="50">
        <f t="shared" si="1"/>
        <v>900</v>
      </c>
      <c r="G6" s="50">
        <v>3000.0</v>
      </c>
      <c r="H6" s="50">
        <v>2100.0</v>
      </c>
      <c r="I6" s="50">
        <v>0.0</v>
      </c>
      <c r="J6" s="50">
        <v>0.0</v>
      </c>
      <c r="K6" s="50">
        <v>0.0</v>
      </c>
      <c r="L6" s="50">
        <v>0.0</v>
      </c>
      <c r="M6" s="50">
        <v>2100.0</v>
      </c>
      <c r="N6" s="62">
        <v>0.0</v>
      </c>
      <c r="O6" s="71" t="s">
        <v>34</v>
      </c>
      <c r="P6" s="71"/>
      <c r="Q6" s="98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43"/>
      <c r="AD6" s="43"/>
    </row>
    <row r="7">
      <c r="A7" s="97" t="s">
        <v>44</v>
      </c>
      <c r="B7" s="46">
        <v>5019.0</v>
      </c>
      <c r="C7" s="47" t="s">
        <v>45</v>
      </c>
      <c r="D7" s="49">
        <v>46091.0</v>
      </c>
      <c r="E7" s="49">
        <v>46093.0</v>
      </c>
      <c r="F7" s="50">
        <f t="shared" si="1"/>
        <v>0</v>
      </c>
      <c r="G7" s="51">
        <v>200.0</v>
      </c>
      <c r="H7" s="51">
        <v>0.0</v>
      </c>
      <c r="I7" s="51">
        <v>0.0</v>
      </c>
      <c r="J7" s="51">
        <v>0.0</v>
      </c>
      <c r="K7" s="51">
        <v>200.0</v>
      </c>
      <c r="L7" s="51">
        <v>0.0</v>
      </c>
      <c r="M7" s="51">
        <v>200.0</v>
      </c>
      <c r="N7" s="14">
        <v>0.0</v>
      </c>
      <c r="O7" s="104" t="s">
        <v>34</v>
      </c>
      <c r="P7" s="82"/>
      <c r="Q7" s="105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43"/>
      <c r="AD7" s="43"/>
    </row>
    <row r="8">
      <c r="A8" s="97" t="s">
        <v>46</v>
      </c>
      <c r="B8" s="58">
        <v>5010.0</v>
      </c>
      <c r="C8" s="59" t="s">
        <v>47</v>
      </c>
      <c r="D8" s="61">
        <v>46084.0</v>
      </c>
      <c r="E8" s="61">
        <v>46095.0</v>
      </c>
      <c r="F8" s="50">
        <f t="shared" si="1"/>
        <v>0</v>
      </c>
      <c r="G8" s="50">
        <v>165.0</v>
      </c>
      <c r="H8" s="50">
        <v>165.0</v>
      </c>
      <c r="I8" s="50">
        <v>0.0</v>
      </c>
      <c r="J8" s="50">
        <v>0.0</v>
      </c>
      <c r="K8" s="50">
        <v>0.0</v>
      </c>
      <c r="L8" s="50">
        <v>0.0</v>
      </c>
      <c r="M8" s="50">
        <v>165.0</v>
      </c>
      <c r="N8" s="62">
        <v>175.0</v>
      </c>
      <c r="O8" s="70" t="s">
        <v>37</v>
      </c>
      <c r="P8" s="53"/>
      <c r="Q8" s="103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43"/>
      <c r="AD8" s="43"/>
    </row>
    <row r="9">
      <c r="A9" s="97" t="s">
        <v>48</v>
      </c>
      <c r="B9" s="46" t="s">
        <v>49</v>
      </c>
      <c r="C9" s="47" t="s">
        <v>47</v>
      </c>
      <c r="D9" s="49">
        <v>46034.0</v>
      </c>
      <c r="E9" s="49">
        <v>46095.0</v>
      </c>
      <c r="F9" s="50">
        <f t="shared" si="1"/>
        <v>900</v>
      </c>
      <c r="G9" s="51">
        <v>900.0</v>
      </c>
      <c r="H9" s="51">
        <v>0.0</v>
      </c>
      <c r="I9" s="51">
        <v>0.0</v>
      </c>
      <c r="J9" s="51">
        <v>0.0</v>
      </c>
      <c r="K9" s="51">
        <v>0.0</v>
      </c>
      <c r="L9" s="51">
        <v>0.0</v>
      </c>
      <c r="M9" s="51">
        <v>0.0</v>
      </c>
      <c r="N9" s="14">
        <v>175.0</v>
      </c>
      <c r="O9" s="75" t="s">
        <v>37</v>
      </c>
      <c r="P9" s="68"/>
      <c r="Q9" s="83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43"/>
      <c r="AD9" s="43"/>
    </row>
    <row r="10">
      <c r="A10" s="97" t="s">
        <v>50</v>
      </c>
      <c r="B10" s="58">
        <v>4890.0</v>
      </c>
      <c r="C10" s="59" t="s">
        <v>47</v>
      </c>
      <c r="D10" s="61">
        <v>46034.0</v>
      </c>
      <c r="E10" s="61">
        <v>46095.0</v>
      </c>
      <c r="F10" s="50">
        <f t="shared" si="1"/>
        <v>157.5</v>
      </c>
      <c r="G10" s="50">
        <v>2782.5</v>
      </c>
      <c r="H10" s="50">
        <v>2625.0</v>
      </c>
      <c r="I10" s="50">
        <v>0.0</v>
      </c>
      <c r="J10" s="50">
        <v>0.0</v>
      </c>
      <c r="K10" s="50">
        <v>0.0</v>
      </c>
      <c r="L10" s="50">
        <v>0.0</v>
      </c>
      <c r="M10" s="50">
        <v>2625.0</v>
      </c>
      <c r="N10" s="62">
        <v>175.0</v>
      </c>
      <c r="O10" s="71" t="s">
        <v>34</v>
      </c>
      <c r="P10" s="53"/>
      <c r="Q10" s="98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43"/>
      <c r="AD10" s="43"/>
    </row>
    <row r="11">
      <c r="A11" s="97" t="s">
        <v>51</v>
      </c>
      <c r="B11" s="100">
        <v>5028.0</v>
      </c>
      <c r="C11" s="47" t="s">
        <v>52</v>
      </c>
      <c r="D11" s="48">
        <v>46098.0</v>
      </c>
      <c r="E11" s="49">
        <v>46098.0</v>
      </c>
      <c r="F11" s="50">
        <f t="shared" si="1"/>
        <v>0</v>
      </c>
      <c r="G11" s="51">
        <v>278.1</v>
      </c>
      <c r="H11" s="51">
        <v>0.0</v>
      </c>
      <c r="I11" s="51">
        <v>278.1</v>
      </c>
      <c r="J11" s="51">
        <v>0.0</v>
      </c>
      <c r="K11" s="51">
        <v>0.0</v>
      </c>
      <c r="L11" s="51">
        <v>0.0</v>
      </c>
      <c r="M11" s="51">
        <v>278.1</v>
      </c>
      <c r="N11" s="14">
        <v>0.0</v>
      </c>
      <c r="O11" s="75" t="s">
        <v>37</v>
      </c>
      <c r="P11" s="56"/>
      <c r="Q11" s="105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43"/>
      <c r="AD11" s="43"/>
    </row>
    <row r="12">
      <c r="A12" s="97" t="s">
        <v>53</v>
      </c>
      <c r="B12" s="106">
        <v>4859.0</v>
      </c>
      <c r="C12" s="59" t="s">
        <v>54</v>
      </c>
      <c r="D12" s="60">
        <v>46010.0</v>
      </c>
      <c r="E12" s="61">
        <v>46102.0</v>
      </c>
      <c r="F12" s="50">
        <f t="shared" si="1"/>
        <v>900</v>
      </c>
      <c r="G12" s="50">
        <v>3400.0</v>
      </c>
      <c r="H12" s="77">
        <v>2500.0</v>
      </c>
      <c r="I12" s="77">
        <v>0.0</v>
      </c>
      <c r="J12" s="77">
        <v>0.0</v>
      </c>
      <c r="K12" s="77">
        <v>0.0</v>
      </c>
      <c r="L12" s="50">
        <v>0.0</v>
      </c>
      <c r="M12" s="50">
        <v>2500.0</v>
      </c>
      <c r="N12" s="62">
        <v>0.0</v>
      </c>
      <c r="O12" s="53" t="s">
        <v>34</v>
      </c>
      <c r="P12" s="53"/>
      <c r="Q12" s="107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43"/>
      <c r="AD12" s="43"/>
    </row>
    <row r="13">
      <c r="A13" s="97" t="s">
        <v>55</v>
      </c>
      <c r="B13" s="14">
        <v>4962.0</v>
      </c>
      <c r="C13" s="47" t="s">
        <v>56</v>
      </c>
      <c r="D13" s="49">
        <v>46063.0</v>
      </c>
      <c r="E13" s="49">
        <v>46109.0</v>
      </c>
      <c r="F13" s="50">
        <f t="shared" si="1"/>
        <v>900</v>
      </c>
      <c r="G13" s="51">
        <v>3525.0</v>
      </c>
      <c r="H13" s="73">
        <v>2625.0</v>
      </c>
      <c r="I13" s="73">
        <v>0.0</v>
      </c>
      <c r="J13" s="73">
        <v>0.0</v>
      </c>
      <c r="K13" s="73">
        <v>0.0</v>
      </c>
      <c r="L13" s="73">
        <v>0.0</v>
      </c>
      <c r="M13" s="51">
        <v>2625.0</v>
      </c>
      <c r="N13" s="14">
        <v>0.0</v>
      </c>
      <c r="O13" s="56" t="s">
        <v>34</v>
      </c>
      <c r="P13" s="68"/>
      <c r="Q13" s="108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43"/>
      <c r="AD13" s="43"/>
    </row>
    <row r="14">
      <c r="A14" s="45"/>
      <c r="B14" s="62"/>
      <c r="C14" s="59"/>
      <c r="D14" s="61"/>
      <c r="E14" s="61"/>
      <c r="F14" s="50"/>
      <c r="G14" s="50"/>
      <c r="H14" s="77"/>
      <c r="I14" s="77"/>
      <c r="J14" s="77"/>
      <c r="K14" s="109"/>
      <c r="L14" s="77"/>
      <c r="M14" s="50"/>
      <c r="N14" s="62"/>
      <c r="O14" s="84"/>
      <c r="P14" s="68"/>
      <c r="Q14" s="110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43"/>
      <c r="AD14" s="43"/>
    </row>
    <row r="15">
      <c r="A15" s="45"/>
      <c r="B15" s="14"/>
      <c r="C15" s="47"/>
      <c r="D15" s="49"/>
      <c r="E15" s="49"/>
      <c r="F15" s="51"/>
      <c r="G15" s="51"/>
      <c r="H15" s="73">
        <f t="shared" ref="H15:L15" si="2">SUM(H2:H13)</f>
        <v>18940</v>
      </c>
      <c r="I15" s="73">
        <f t="shared" si="2"/>
        <v>278.1</v>
      </c>
      <c r="J15" s="73">
        <f t="shared" si="2"/>
        <v>0</v>
      </c>
      <c r="K15" s="73">
        <f t="shared" si="2"/>
        <v>200</v>
      </c>
      <c r="L15" s="73">
        <f t="shared" si="2"/>
        <v>0</v>
      </c>
      <c r="M15" s="51"/>
      <c r="N15" s="14"/>
      <c r="O15" s="82"/>
      <c r="P15" s="68"/>
      <c r="Q15" s="108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43"/>
      <c r="AD15" s="43"/>
    </row>
    <row r="16">
      <c r="A16" s="45"/>
      <c r="B16" s="62"/>
      <c r="C16" s="59"/>
      <c r="D16" s="60"/>
      <c r="E16" s="61"/>
      <c r="F16" s="50"/>
      <c r="G16" s="50"/>
      <c r="H16" s="50"/>
      <c r="I16" s="50"/>
      <c r="J16" s="50"/>
      <c r="K16" s="50"/>
      <c r="L16" s="50"/>
      <c r="M16" s="50"/>
      <c r="N16" s="62"/>
      <c r="O16" s="86"/>
      <c r="P16" s="71"/>
      <c r="Q16" s="111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43"/>
      <c r="AD16" s="43"/>
    </row>
    <row r="17">
      <c r="A17" s="45"/>
      <c r="B17" s="14"/>
      <c r="C17" s="47"/>
      <c r="D17" s="49"/>
      <c r="E17" s="49"/>
      <c r="F17" s="51"/>
      <c r="G17" s="51"/>
      <c r="H17" s="51"/>
      <c r="I17" s="51"/>
      <c r="J17" s="51"/>
      <c r="K17" s="51"/>
      <c r="L17" s="51"/>
      <c r="M17" s="51"/>
      <c r="N17" s="14"/>
      <c r="O17" s="72"/>
      <c r="P17" s="75"/>
      <c r="Q17" s="83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43"/>
      <c r="AD17" s="43"/>
    </row>
    <row r="18">
      <c r="A18" s="45"/>
      <c r="B18" s="62"/>
      <c r="C18" s="59"/>
      <c r="D18" s="61"/>
      <c r="E18" s="59">
        <v>178.0</v>
      </c>
      <c r="F18" s="77">
        <f>SUM(H15,K15)</f>
        <v>19140</v>
      </c>
      <c r="G18" s="77"/>
      <c r="H18" s="77"/>
      <c r="I18" s="77"/>
      <c r="J18" s="77"/>
      <c r="K18" s="50"/>
      <c r="L18" s="50"/>
      <c r="M18" s="50"/>
      <c r="N18" s="62"/>
      <c r="O18" s="84"/>
      <c r="P18" s="84"/>
      <c r="Q18" s="111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43"/>
      <c r="AD18" s="43"/>
    </row>
    <row r="19">
      <c r="A19" s="45"/>
      <c r="B19" s="14"/>
      <c r="C19" s="47"/>
      <c r="D19" s="49"/>
      <c r="E19" s="49"/>
      <c r="F19" s="51"/>
      <c r="G19" s="51"/>
      <c r="H19" s="51"/>
      <c r="I19" s="51"/>
      <c r="J19" s="51"/>
      <c r="K19" s="51"/>
      <c r="L19" s="51"/>
      <c r="M19" s="51"/>
      <c r="N19" s="14"/>
      <c r="O19" s="75"/>
      <c r="P19" s="82"/>
      <c r="Q19" s="83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43"/>
      <c r="AD19" s="43"/>
    </row>
    <row r="20">
      <c r="A20" s="45"/>
      <c r="B20" s="62"/>
      <c r="C20" s="59"/>
      <c r="D20" s="60"/>
      <c r="E20" s="60"/>
      <c r="F20" s="50"/>
      <c r="G20" s="50"/>
      <c r="H20" s="50"/>
      <c r="I20" s="50"/>
      <c r="J20" s="50"/>
      <c r="K20" s="50"/>
      <c r="L20" s="50"/>
      <c r="M20" s="50"/>
      <c r="N20" s="62"/>
      <c r="O20" s="86"/>
      <c r="P20" s="84"/>
      <c r="Q20" s="111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43"/>
      <c r="AD20" s="43"/>
    </row>
    <row r="21" ht="15.75" customHeight="1">
      <c r="A21" s="45"/>
      <c r="B21" s="14"/>
      <c r="C21" s="47"/>
      <c r="D21" s="48"/>
      <c r="E21" s="48"/>
      <c r="F21" s="51"/>
      <c r="G21" s="51"/>
      <c r="H21" s="51"/>
      <c r="I21" s="51"/>
      <c r="J21" s="51"/>
      <c r="K21" s="51"/>
      <c r="L21" s="51"/>
      <c r="M21" s="51"/>
      <c r="N21" s="14"/>
      <c r="O21" s="72"/>
      <c r="P21" s="68"/>
      <c r="Q21" s="83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43"/>
      <c r="AD21" s="43"/>
    </row>
    <row r="22" ht="15.75" customHeight="1">
      <c r="A22" s="45"/>
      <c r="B22" s="62"/>
      <c r="C22" s="59"/>
      <c r="D22" s="60"/>
      <c r="E22" s="61"/>
      <c r="F22" s="50"/>
      <c r="G22" s="50"/>
      <c r="H22" s="50"/>
      <c r="I22" s="50"/>
      <c r="J22" s="50"/>
      <c r="K22" s="50"/>
      <c r="L22" s="50"/>
      <c r="M22" s="50"/>
      <c r="N22" s="62"/>
      <c r="O22" s="86"/>
      <c r="P22" s="52"/>
      <c r="Q22" s="111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43"/>
      <c r="AD22" s="43"/>
    </row>
    <row r="23" ht="15.75" customHeight="1">
      <c r="A23" s="112"/>
      <c r="B23" s="14"/>
      <c r="C23" s="47"/>
      <c r="D23" s="49"/>
      <c r="E23" s="49"/>
      <c r="F23" s="51"/>
      <c r="G23" s="51"/>
      <c r="H23" s="51"/>
      <c r="I23" s="51"/>
      <c r="J23" s="51"/>
      <c r="K23" s="51"/>
      <c r="L23" s="51"/>
      <c r="M23" s="51"/>
      <c r="N23" s="51"/>
      <c r="O23" s="14"/>
      <c r="P23" s="68"/>
      <c r="Q23" s="83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43"/>
      <c r="AD23" s="43"/>
    </row>
    <row r="24" ht="15.75" customHeight="1">
      <c r="A24" s="113"/>
      <c r="B24" s="62"/>
      <c r="C24" s="59"/>
      <c r="D24" s="60"/>
      <c r="E24" s="60"/>
      <c r="F24" s="50"/>
      <c r="G24" s="50"/>
      <c r="H24" s="50"/>
      <c r="I24" s="50"/>
      <c r="J24" s="50"/>
      <c r="K24" s="50"/>
      <c r="L24" s="50"/>
      <c r="M24" s="50"/>
      <c r="N24" s="50"/>
      <c r="O24" s="62"/>
      <c r="P24" s="86"/>
      <c r="Q24" s="114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43"/>
      <c r="AD24" s="43"/>
    </row>
    <row r="25" ht="15.75" customHeight="1">
      <c r="A25" s="112"/>
      <c r="B25" s="14"/>
      <c r="C25" s="47"/>
      <c r="D25" s="48"/>
      <c r="E25" s="48"/>
      <c r="F25" s="51"/>
      <c r="G25" s="51"/>
      <c r="H25" s="51"/>
      <c r="I25" s="51"/>
      <c r="J25" s="51"/>
      <c r="K25" s="51"/>
      <c r="L25" s="51"/>
      <c r="M25" s="51"/>
      <c r="N25" s="51"/>
      <c r="O25" s="14"/>
      <c r="P25" s="82"/>
      <c r="Q25" s="83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43"/>
      <c r="AD25" s="43"/>
    </row>
    <row r="26" ht="15.75" customHeight="1">
      <c r="A26" s="113"/>
      <c r="B26" s="62"/>
      <c r="C26" s="67"/>
      <c r="D26" s="60"/>
      <c r="E26" s="60"/>
      <c r="F26" s="50"/>
      <c r="G26" s="50"/>
      <c r="H26" s="50"/>
      <c r="I26" s="77"/>
      <c r="J26" s="77"/>
      <c r="K26" s="77"/>
      <c r="L26" s="50"/>
      <c r="M26" s="50"/>
      <c r="N26" s="50"/>
      <c r="O26" s="79"/>
      <c r="P26" s="84"/>
      <c r="Q26" s="114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43"/>
      <c r="AD26" s="43"/>
    </row>
    <row r="27" ht="15.75" customHeight="1">
      <c r="A27" s="112"/>
      <c r="B27" s="14"/>
      <c r="C27" s="47"/>
      <c r="D27" s="49"/>
      <c r="E27" s="49"/>
      <c r="F27" s="51"/>
      <c r="G27" s="51"/>
      <c r="H27" s="51"/>
      <c r="I27" s="73"/>
      <c r="J27" s="73"/>
      <c r="K27" s="73"/>
      <c r="L27" s="73"/>
      <c r="M27" s="51"/>
      <c r="N27" s="51"/>
      <c r="O27" s="80"/>
      <c r="P27" s="82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43"/>
      <c r="AD27" s="43"/>
    </row>
    <row r="28" ht="15.75" customHeight="1">
      <c r="A28" s="113"/>
      <c r="B28" s="62"/>
      <c r="C28" s="59"/>
      <c r="D28" s="61"/>
      <c r="E28" s="60"/>
      <c r="F28" s="50"/>
      <c r="G28" s="50"/>
      <c r="H28" s="50"/>
      <c r="I28" s="50"/>
      <c r="J28" s="50"/>
      <c r="K28" s="50"/>
      <c r="L28" s="50"/>
      <c r="M28" s="50"/>
      <c r="N28" s="50"/>
      <c r="O28" s="62"/>
      <c r="P28" s="86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43"/>
      <c r="AD28" s="43"/>
    </row>
    <row r="29" ht="15.75" customHeight="1">
      <c r="A29" s="112"/>
      <c r="B29" s="14"/>
      <c r="C29" s="47"/>
      <c r="D29" s="48"/>
      <c r="E29" s="49"/>
      <c r="F29" s="51"/>
      <c r="G29" s="51"/>
      <c r="H29" s="51"/>
      <c r="I29" s="51"/>
      <c r="J29" s="51"/>
      <c r="K29" s="51"/>
      <c r="L29" s="51"/>
      <c r="M29" s="51"/>
      <c r="N29" s="51"/>
      <c r="O29" s="14"/>
      <c r="P29" s="72"/>
      <c r="Q29" s="83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43"/>
      <c r="AD29" s="43"/>
    </row>
    <row r="30" ht="15.75" customHeight="1">
      <c r="A30" s="115"/>
      <c r="B30" s="114"/>
      <c r="C30" s="99"/>
      <c r="D30" s="116"/>
      <c r="E30" s="111"/>
      <c r="F30" s="111"/>
      <c r="G30" s="111"/>
      <c r="H30" s="111"/>
      <c r="I30" s="111"/>
      <c r="J30" s="111"/>
      <c r="K30" s="114"/>
      <c r="L30" s="99"/>
      <c r="M30" s="99"/>
      <c r="N30" s="99"/>
      <c r="O30" s="99"/>
      <c r="P30" s="99"/>
      <c r="Q30" s="111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43"/>
      <c r="AD30" s="43"/>
    </row>
    <row r="31" ht="15.75" customHeight="1">
      <c r="A31" s="96"/>
      <c r="B31" s="85"/>
      <c r="C31" s="96"/>
      <c r="D31" s="117"/>
      <c r="E31" s="96"/>
      <c r="F31" s="96"/>
      <c r="G31" s="96"/>
      <c r="H31" s="96"/>
      <c r="I31" s="96"/>
      <c r="J31" s="85"/>
      <c r="K31" s="85"/>
      <c r="L31" s="96"/>
      <c r="M31" s="96"/>
      <c r="N31" s="96"/>
      <c r="O31" s="96"/>
      <c r="P31" s="83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43"/>
      <c r="AD31" s="43"/>
    </row>
    <row r="32" ht="15.75" customHeight="1">
      <c r="A32" s="99"/>
      <c r="B32" s="114"/>
      <c r="C32" s="99"/>
      <c r="D32" s="99"/>
      <c r="E32" s="99"/>
      <c r="F32" s="99"/>
      <c r="G32" s="99"/>
      <c r="H32" s="99"/>
      <c r="I32" s="114"/>
      <c r="J32" s="114"/>
      <c r="K32" s="114"/>
      <c r="L32" s="114"/>
      <c r="M32" s="114"/>
      <c r="N32" s="114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43"/>
      <c r="AD32" s="43"/>
    </row>
    <row r="33" ht="15.75" customHeight="1">
      <c r="A33" s="96"/>
      <c r="B33" s="8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43"/>
      <c r="AD33" s="43"/>
    </row>
    <row r="34" ht="15.75" customHeight="1">
      <c r="A34" s="99"/>
      <c r="B34" s="114"/>
      <c r="C34" s="99"/>
      <c r="D34" s="99"/>
      <c r="E34" s="99"/>
      <c r="F34" s="99"/>
      <c r="G34" s="99"/>
      <c r="H34" s="99"/>
      <c r="I34" s="114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43"/>
      <c r="AD34" s="43"/>
    </row>
    <row r="35" ht="15.75" customHeight="1">
      <c r="A35" s="96"/>
      <c r="B35" s="85"/>
      <c r="C35" s="96"/>
      <c r="D35" s="96"/>
      <c r="E35" s="96"/>
      <c r="F35" s="96"/>
      <c r="G35" s="96"/>
      <c r="H35" s="96"/>
      <c r="I35" s="85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43"/>
      <c r="AD35" s="43"/>
    </row>
    <row r="36" ht="15.75" customHeight="1">
      <c r="A36" s="99"/>
      <c r="B36" s="114"/>
      <c r="C36" s="99"/>
      <c r="D36" s="99"/>
      <c r="E36" s="99"/>
      <c r="F36" s="99"/>
      <c r="G36" s="99"/>
      <c r="H36" s="99"/>
      <c r="I36" s="99"/>
      <c r="J36" s="99"/>
      <c r="K36" s="114"/>
      <c r="L36" s="114"/>
      <c r="M36" s="114"/>
      <c r="N36" s="114"/>
      <c r="O36" s="114"/>
      <c r="P36" s="114"/>
      <c r="Q36" s="114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43"/>
      <c r="AD36" s="43"/>
    </row>
    <row r="37" ht="15.75" customHeight="1">
      <c r="A37" s="96"/>
      <c r="B37" s="8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43"/>
      <c r="AD37" s="43"/>
    </row>
    <row r="38" ht="15.75" customHeight="1">
      <c r="A38" s="99"/>
      <c r="B38" s="114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43"/>
      <c r="AD38" s="43"/>
    </row>
    <row r="39" ht="15.75" customHeight="1">
      <c r="A39" s="96"/>
      <c r="B39" s="85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43"/>
      <c r="AD39" s="43"/>
    </row>
    <row r="40" ht="15.75" customHeight="1">
      <c r="A40" s="99"/>
      <c r="B40" s="114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43"/>
      <c r="AD40" s="43"/>
    </row>
    <row r="41" ht="15.75" customHeight="1">
      <c r="A41" s="96"/>
      <c r="B41" s="85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43"/>
      <c r="AD41" s="43"/>
    </row>
    <row r="42" ht="15.75" customHeight="1">
      <c r="A42" s="99"/>
      <c r="B42" s="114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43"/>
      <c r="AD42" s="43"/>
    </row>
    <row r="43" ht="15.75" customHeight="1">
      <c r="A43" s="96"/>
      <c r="B43" s="85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43"/>
      <c r="AD43" s="43"/>
    </row>
    <row r="44" ht="15.75" customHeight="1">
      <c r="A44" s="99"/>
      <c r="B44" s="114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43"/>
      <c r="AD44" s="43"/>
    </row>
    <row r="45" ht="15.75" customHeight="1">
      <c r="A45" s="96"/>
      <c r="B45" s="85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43"/>
      <c r="AD45" s="43"/>
    </row>
    <row r="46" ht="15.75" customHeight="1">
      <c r="A46" s="99"/>
      <c r="B46" s="114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43"/>
      <c r="AD46" s="43"/>
    </row>
    <row r="47" ht="15.75" customHeight="1">
      <c r="A47" s="96"/>
      <c r="B47" s="8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43"/>
      <c r="AD47" s="43"/>
    </row>
    <row r="48" ht="15.75" customHeight="1">
      <c r="A48" s="99"/>
      <c r="B48" s="114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43"/>
      <c r="AD48" s="43"/>
    </row>
    <row r="49" ht="15.75" customHeight="1">
      <c r="A49" s="96"/>
      <c r="B49" s="85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43"/>
      <c r="AD49" s="43"/>
    </row>
    <row r="50" ht="15.75" customHeight="1">
      <c r="A50" s="99"/>
      <c r="B50" s="114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43"/>
      <c r="AD50" s="43"/>
    </row>
    <row r="51" ht="15.75" customHeight="1">
      <c r="A51" s="96"/>
      <c r="B51" s="85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43"/>
      <c r="AD51" s="43"/>
    </row>
    <row r="52" ht="15.75" customHeight="1">
      <c r="A52" s="99"/>
      <c r="B52" s="114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43"/>
      <c r="AD52" s="43"/>
    </row>
    <row r="53" ht="15.75" customHeight="1">
      <c r="A53" s="96"/>
      <c r="B53" s="85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43"/>
      <c r="AD53" s="43"/>
    </row>
    <row r="54" ht="15.75" customHeight="1">
      <c r="A54" s="99"/>
      <c r="B54" s="114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43"/>
      <c r="AD54" s="43"/>
    </row>
    <row r="55" ht="15.75" customHeight="1">
      <c r="A55" s="96"/>
      <c r="B55" s="8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43"/>
      <c r="AD55" s="43"/>
    </row>
    <row r="56" ht="15.75" customHeight="1">
      <c r="A56" s="99"/>
      <c r="B56" s="114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43"/>
      <c r="AD56" s="43"/>
    </row>
    <row r="57" ht="15.75" customHeight="1">
      <c r="A57" s="96"/>
      <c r="B57" s="85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43"/>
      <c r="AD57" s="43"/>
    </row>
    <row r="58" ht="15.75" customHeight="1">
      <c r="A58" s="99"/>
      <c r="B58" s="114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43"/>
      <c r="AD58" s="43"/>
    </row>
    <row r="59" ht="15.75" customHeight="1">
      <c r="A59" s="96"/>
      <c r="B59" s="85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43"/>
      <c r="AD59" s="43"/>
    </row>
    <row r="60" ht="15.75" customHeight="1">
      <c r="A60" s="99"/>
      <c r="B60" s="114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43"/>
      <c r="AD60" s="43"/>
    </row>
    <row r="61" ht="15.75" customHeight="1">
      <c r="A61" s="96"/>
      <c r="B61" s="85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43"/>
      <c r="AD61" s="43"/>
    </row>
    <row r="62" ht="15.75" customHeight="1">
      <c r="A62" s="99"/>
      <c r="B62" s="114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43"/>
      <c r="AD62" s="43"/>
    </row>
    <row r="63" ht="15.75" customHeight="1">
      <c r="A63" s="96"/>
      <c r="B63" s="8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43"/>
      <c r="AD63" s="43"/>
    </row>
    <row r="64" ht="15.75" customHeight="1">
      <c r="A64" s="99"/>
      <c r="B64" s="114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43"/>
      <c r="AD64" s="43"/>
    </row>
    <row r="65" ht="15.75" customHeight="1">
      <c r="A65" s="96"/>
      <c r="B65" s="8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43"/>
      <c r="AD65" s="43"/>
    </row>
    <row r="66" ht="15.75" customHeight="1">
      <c r="A66" s="99"/>
      <c r="B66" s="114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43"/>
      <c r="AD66" s="43"/>
    </row>
    <row r="67" ht="15.75" customHeight="1">
      <c r="A67" s="96"/>
      <c r="B67" s="85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43"/>
      <c r="AD67" s="43"/>
    </row>
    <row r="68" ht="15.75" customHeight="1">
      <c r="A68" s="99"/>
      <c r="B68" s="114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43"/>
      <c r="AD68" s="43"/>
    </row>
    <row r="69" ht="15.75" customHeight="1">
      <c r="A69" s="96"/>
      <c r="B69" s="85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43"/>
      <c r="AD69" s="43"/>
    </row>
    <row r="70" ht="15.75" customHeight="1">
      <c r="A70" s="99"/>
      <c r="B70" s="114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43"/>
      <c r="AD70" s="43"/>
    </row>
    <row r="71" ht="15.75" customHeight="1">
      <c r="A71" s="96"/>
      <c r="B71" s="85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43"/>
      <c r="AD71" s="43"/>
    </row>
    <row r="72" ht="15.75" customHeight="1">
      <c r="A72" s="99"/>
      <c r="B72" s="114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43"/>
      <c r="AD72" s="43"/>
    </row>
    <row r="73" ht="15.75" customHeight="1">
      <c r="A73" s="96"/>
      <c r="B73" s="85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43"/>
      <c r="AD73" s="43"/>
    </row>
    <row r="74" ht="15.75" customHeight="1">
      <c r="A74" s="99"/>
      <c r="B74" s="114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43"/>
      <c r="AD74" s="43"/>
    </row>
    <row r="75" ht="15.75" customHeight="1">
      <c r="A75" s="96"/>
      <c r="B75" s="85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43"/>
      <c r="AD75" s="43"/>
    </row>
    <row r="76" ht="15.75" customHeight="1">
      <c r="A76" s="99"/>
      <c r="B76" s="114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43"/>
      <c r="AD76" s="43"/>
    </row>
    <row r="77" ht="15.75" customHeight="1">
      <c r="A77" s="96"/>
      <c r="B77" s="85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43"/>
      <c r="AD77" s="43"/>
    </row>
    <row r="78" ht="15.75" customHeight="1">
      <c r="A78" s="99"/>
      <c r="B78" s="114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43"/>
      <c r="AD78" s="43"/>
    </row>
    <row r="79" ht="15.75" customHeight="1">
      <c r="A79" s="96"/>
      <c r="B79" s="85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43"/>
      <c r="AD79" s="43"/>
    </row>
    <row r="80" ht="15.75" customHeight="1">
      <c r="A80" s="99"/>
      <c r="B80" s="114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43"/>
      <c r="AD80" s="43"/>
    </row>
    <row r="81" ht="15.75" customHeight="1">
      <c r="A81" s="96"/>
      <c r="B81" s="85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43"/>
      <c r="AD81" s="43"/>
    </row>
    <row r="82" ht="15.75" customHeight="1">
      <c r="A82" s="99"/>
      <c r="B82" s="114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43"/>
      <c r="AD82" s="43"/>
    </row>
    <row r="83" ht="15.75" customHeight="1">
      <c r="A83" s="96"/>
      <c r="B83" s="85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43"/>
      <c r="AD83" s="43"/>
    </row>
    <row r="84" ht="15.75" customHeight="1">
      <c r="A84" s="99"/>
      <c r="B84" s="114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43"/>
      <c r="AD84" s="43"/>
    </row>
    <row r="85" ht="15.75" customHeight="1">
      <c r="A85" s="96"/>
      <c r="B85" s="85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43"/>
      <c r="AD85" s="43"/>
    </row>
    <row r="86" ht="15.75" customHeight="1">
      <c r="A86" s="99"/>
      <c r="B86" s="114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43"/>
      <c r="AD86" s="43"/>
    </row>
    <row r="87" ht="15.75" customHeight="1">
      <c r="A87" s="96"/>
      <c r="B87" s="85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43"/>
      <c r="AD87" s="43"/>
    </row>
    <row r="88" ht="15.75" customHeight="1">
      <c r="A88" s="99"/>
      <c r="B88" s="114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43"/>
      <c r="AD88" s="43"/>
    </row>
    <row r="89" ht="15.75" customHeight="1">
      <c r="A89" s="96"/>
      <c r="B89" s="85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43"/>
      <c r="AD89" s="43"/>
    </row>
    <row r="90" ht="15.75" customHeight="1">
      <c r="A90" s="99"/>
      <c r="B90" s="114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43"/>
      <c r="AD90" s="43"/>
    </row>
    <row r="91" ht="15.75" customHeight="1">
      <c r="A91" s="96"/>
      <c r="B91" s="85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43"/>
      <c r="AD91" s="43"/>
    </row>
    <row r="92" ht="15.75" customHeight="1">
      <c r="A92" s="99"/>
      <c r="B92" s="114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43"/>
      <c r="AD92" s="43"/>
    </row>
    <row r="93" ht="15.75" customHeight="1">
      <c r="A93" s="96"/>
      <c r="B93" s="85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43"/>
      <c r="AD93" s="43"/>
    </row>
    <row r="94" ht="15.75" customHeight="1">
      <c r="A94" s="99"/>
      <c r="B94" s="114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43"/>
      <c r="AD94" s="43"/>
    </row>
    <row r="95" ht="15.75" customHeight="1">
      <c r="A95" s="96"/>
      <c r="B95" s="85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43"/>
      <c r="AD95" s="43"/>
    </row>
    <row r="96" ht="15.75" customHeight="1">
      <c r="A96" s="99"/>
      <c r="B96" s="114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43"/>
      <c r="AD96" s="43"/>
    </row>
    <row r="97" ht="15.75" customHeight="1">
      <c r="A97" s="96"/>
      <c r="B97" s="85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43"/>
      <c r="AD97" s="43"/>
    </row>
    <row r="98" ht="15.75" customHeight="1">
      <c r="A98" s="99"/>
      <c r="B98" s="114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43"/>
      <c r="AD98" s="43"/>
    </row>
    <row r="99" ht="15.75" customHeight="1">
      <c r="A99" s="96"/>
      <c r="B99" s="85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43"/>
      <c r="AD99" s="43"/>
    </row>
    <row r="100" ht="15.75" customHeight="1">
      <c r="A100" s="99"/>
      <c r="B100" s="114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43"/>
      <c r="AD100" s="43"/>
    </row>
    <row r="101" ht="15.75" customHeight="1">
      <c r="A101" s="96"/>
      <c r="B101" s="85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43"/>
      <c r="AD101" s="43"/>
    </row>
    <row r="102" ht="15.75" customHeight="1">
      <c r="A102" s="99"/>
      <c r="B102" s="114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43"/>
      <c r="AD102" s="43"/>
    </row>
    <row r="103" ht="15.75" customHeight="1">
      <c r="A103" s="96"/>
      <c r="B103" s="85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43"/>
      <c r="AD103" s="43"/>
    </row>
    <row r="104" ht="15.75" customHeight="1">
      <c r="A104" s="99"/>
      <c r="B104" s="114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43"/>
      <c r="AD104" s="43"/>
    </row>
    <row r="105" ht="15.75" customHeight="1">
      <c r="A105" s="96"/>
      <c r="B105" s="85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43"/>
      <c r="AD105" s="43"/>
    </row>
    <row r="106" ht="15.75" customHeight="1">
      <c r="A106" s="99"/>
      <c r="B106" s="114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43"/>
      <c r="AD106" s="43"/>
    </row>
    <row r="107" ht="15.75" customHeight="1">
      <c r="A107" s="96"/>
      <c r="B107" s="85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43"/>
      <c r="AD107" s="43"/>
    </row>
    <row r="108" ht="15.75" customHeight="1">
      <c r="A108" s="99"/>
      <c r="B108" s="114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43"/>
      <c r="AD108" s="43"/>
    </row>
    <row r="109" ht="15.75" customHeight="1">
      <c r="A109" s="96"/>
      <c r="B109" s="85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43"/>
      <c r="AD109" s="43"/>
    </row>
    <row r="110" ht="15.75" customHeight="1">
      <c r="A110" s="99"/>
      <c r="B110" s="114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43"/>
      <c r="AD110" s="43"/>
    </row>
    <row r="111" ht="15.75" customHeight="1">
      <c r="A111" s="96"/>
      <c r="B111" s="85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43"/>
      <c r="AD111" s="43"/>
    </row>
    <row r="112" ht="15.75" customHeight="1">
      <c r="A112" s="99"/>
      <c r="B112" s="114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43"/>
      <c r="AD112" s="43"/>
    </row>
    <row r="113" ht="15.75" customHeight="1">
      <c r="A113" s="96"/>
      <c r="B113" s="85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43"/>
      <c r="AD113" s="43"/>
    </row>
    <row r="114" ht="15.75" customHeight="1">
      <c r="A114" s="99"/>
      <c r="B114" s="114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43"/>
      <c r="AD114" s="43"/>
    </row>
    <row r="115" ht="15.75" customHeight="1">
      <c r="A115" s="96"/>
      <c r="B115" s="85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43"/>
      <c r="AD115" s="43"/>
    </row>
    <row r="116" ht="15.75" customHeight="1">
      <c r="A116" s="99"/>
      <c r="B116" s="114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43"/>
      <c r="AD116" s="43"/>
    </row>
    <row r="117" ht="15.75" customHeight="1">
      <c r="A117" s="96"/>
      <c r="B117" s="85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43"/>
      <c r="AD117" s="43"/>
    </row>
    <row r="118" ht="15.75" customHeight="1">
      <c r="A118" s="99"/>
      <c r="B118" s="114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43"/>
      <c r="AD118" s="43"/>
    </row>
    <row r="119" ht="15.75" customHeight="1">
      <c r="A119" s="96"/>
      <c r="B119" s="85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43"/>
      <c r="AD119" s="43"/>
    </row>
    <row r="120" ht="15.75" customHeight="1">
      <c r="A120" s="99"/>
      <c r="B120" s="114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43"/>
      <c r="AD120" s="43"/>
    </row>
    <row r="121" ht="15.75" customHeight="1">
      <c r="A121" s="96"/>
      <c r="B121" s="85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43"/>
      <c r="AD121" s="43"/>
    </row>
    <row r="122" ht="15.75" customHeight="1">
      <c r="A122" s="99"/>
      <c r="B122" s="114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43"/>
      <c r="AD122" s="43"/>
    </row>
    <row r="123" ht="15.75" customHeight="1">
      <c r="A123" s="96"/>
      <c r="B123" s="85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43"/>
      <c r="AD123" s="43"/>
    </row>
    <row r="124" ht="15.75" customHeight="1">
      <c r="A124" s="99"/>
      <c r="B124" s="114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43"/>
      <c r="AD124" s="43"/>
    </row>
    <row r="125" ht="15.75" customHeight="1">
      <c r="A125" s="96"/>
      <c r="B125" s="85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43"/>
      <c r="AD125" s="43"/>
    </row>
    <row r="126" ht="15.75" customHeight="1">
      <c r="A126" s="99"/>
      <c r="B126" s="114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43"/>
      <c r="AD126" s="43"/>
    </row>
    <row r="127" ht="15.75" customHeight="1">
      <c r="A127" s="96"/>
      <c r="B127" s="85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43"/>
      <c r="AD127" s="43"/>
    </row>
    <row r="128" ht="15.75" customHeight="1">
      <c r="A128" s="99"/>
      <c r="B128" s="114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43"/>
      <c r="AD128" s="43"/>
    </row>
    <row r="129" ht="15.75" customHeight="1">
      <c r="A129" s="96"/>
      <c r="B129" s="85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43"/>
      <c r="AD129" s="43"/>
    </row>
    <row r="130" ht="15.75" customHeight="1">
      <c r="A130" s="99"/>
      <c r="B130" s="114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43"/>
      <c r="AD130" s="43"/>
    </row>
    <row r="131" ht="15.75" customHeight="1">
      <c r="A131" s="96"/>
      <c r="B131" s="85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43"/>
      <c r="AD131" s="43"/>
    </row>
    <row r="132" ht="15.75" customHeight="1">
      <c r="A132" s="99"/>
      <c r="B132" s="114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43"/>
      <c r="AD132" s="43"/>
    </row>
    <row r="133" ht="15.75" customHeight="1">
      <c r="A133" s="96"/>
      <c r="B133" s="85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43"/>
      <c r="AD133" s="43"/>
    </row>
    <row r="134" ht="15.75" customHeight="1">
      <c r="A134" s="99"/>
      <c r="B134" s="114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43"/>
      <c r="AD134" s="43"/>
    </row>
    <row r="135" ht="15.75" customHeight="1">
      <c r="A135" s="96"/>
      <c r="B135" s="85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43"/>
      <c r="AD135" s="43"/>
    </row>
    <row r="136" ht="15.75" customHeight="1">
      <c r="A136" s="99"/>
      <c r="B136" s="114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43"/>
      <c r="AD136" s="43"/>
    </row>
    <row r="137" ht="15.75" customHeight="1">
      <c r="A137" s="96"/>
      <c r="B137" s="85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43"/>
      <c r="AD137" s="43"/>
    </row>
    <row r="138" ht="15.75" customHeight="1">
      <c r="A138" s="99"/>
      <c r="B138" s="114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43"/>
      <c r="AD138" s="43"/>
    </row>
    <row r="139" ht="15.75" customHeight="1">
      <c r="A139" s="96"/>
      <c r="B139" s="85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43"/>
      <c r="AD139" s="43"/>
    </row>
    <row r="140" ht="15.75" customHeight="1">
      <c r="A140" s="99"/>
      <c r="B140" s="114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43"/>
      <c r="AD140" s="43"/>
    </row>
    <row r="141" ht="15.75" customHeight="1">
      <c r="A141" s="96"/>
      <c r="B141" s="85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43"/>
      <c r="AD141" s="43"/>
    </row>
    <row r="142" ht="15.75" customHeight="1">
      <c r="A142" s="99"/>
      <c r="B142" s="114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43"/>
      <c r="AD142" s="43"/>
    </row>
    <row r="143" ht="15.75" customHeight="1">
      <c r="A143" s="96"/>
      <c r="B143" s="85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43"/>
      <c r="AD143" s="43"/>
    </row>
    <row r="144" ht="15.75" customHeight="1">
      <c r="A144" s="99"/>
      <c r="B144" s="114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43"/>
      <c r="AD144" s="43"/>
    </row>
    <row r="145" ht="15.75" customHeight="1">
      <c r="A145" s="96"/>
      <c r="B145" s="85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43"/>
      <c r="AD145" s="43"/>
    </row>
    <row r="146" ht="15.75" customHeight="1">
      <c r="A146" s="99"/>
      <c r="B146" s="114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43"/>
      <c r="AD146" s="43"/>
    </row>
    <row r="147" ht="15.75" customHeight="1">
      <c r="A147" s="96"/>
      <c r="B147" s="85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43"/>
      <c r="AD147" s="43"/>
    </row>
    <row r="148" ht="15.75" customHeight="1">
      <c r="A148" s="99"/>
      <c r="B148" s="114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43"/>
      <c r="AD148" s="43"/>
    </row>
    <row r="149" ht="15.75" customHeight="1">
      <c r="A149" s="96"/>
      <c r="B149" s="85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43"/>
      <c r="AD149" s="43"/>
    </row>
    <row r="150" ht="15.75" customHeight="1">
      <c r="A150" s="99"/>
      <c r="B150" s="114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43"/>
      <c r="AD150" s="43"/>
    </row>
    <row r="151" ht="15.75" customHeight="1">
      <c r="A151" s="96"/>
      <c r="B151" s="85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43"/>
      <c r="AD151" s="43"/>
    </row>
    <row r="152" ht="15.75" customHeight="1">
      <c r="A152" s="99"/>
      <c r="B152" s="114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43"/>
      <c r="AD152" s="43"/>
    </row>
    <row r="153" ht="15.75" customHeight="1">
      <c r="A153" s="96"/>
      <c r="B153" s="85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43"/>
      <c r="AD153" s="43"/>
    </row>
    <row r="154" ht="15.75" customHeight="1">
      <c r="A154" s="99"/>
      <c r="B154" s="114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43"/>
      <c r="AD154" s="43"/>
    </row>
    <row r="155" ht="15.75" customHeight="1">
      <c r="A155" s="96"/>
      <c r="B155" s="85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43"/>
      <c r="AD155" s="43"/>
    </row>
    <row r="156" ht="15.75" customHeight="1">
      <c r="A156" s="99"/>
      <c r="B156" s="114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43"/>
      <c r="AD156" s="43"/>
    </row>
    <row r="157" ht="15.75" customHeight="1">
      <c r="A157" s="96"/>
      <c r="B157" s="85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43"/>
      <c r="AD157" s="43"/>
    </row>
    <row r="158" ht="15.75" customHeight="1">
      <c r="A158" s="99"/>
      <c r="B158" s="114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43"/>
      <c r="AD158" s="43"/>
    </row>
    <row r="159" ht="15.75" customHeight="1">
      <c r="A159" s="96"/>
      <c r="B159" s="85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43"/>
      <c r="AD159" s="43"/>
    </row>
    <row r="160" ht="15.75" customHeight="1">
      <c r="A160" s="99"/>
      <c r="B160" s="114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43"/>
      <c r="AD160" s="43"/>
    </row>
    <row r="161" ht="15.75" customHeight="1">
      <c r="A161" s="96"/>
      <c r="B161" s="85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43"/>
      <c r="AD161" s="43"/>
    </row>
    <row r="162" ht="15.75" customHeight="1">
      <c r="A162" s="99"/>
      <c r="B162" s="114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43"/>
      <c r="AD162" s="43"/>
    </row>
    <row r="163" ht="15.75" customHeight="1">
      <c r="A163" s="96"/>
      <c r="B163" s="85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43"/>
      <c r="AD163" s="43"/>
    </row>
    <row r="164" ht="15.75" customHeight="1">
      <c r="A164" s="99"/>
      <c r="B164" s="114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43"/>
      <c r="AD164" s="43"/>
    </row>
    <row r="165" ht="15.75" customHeight="1">
      <c r="A165" s="96"/>
      <c r="B165" s="85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43"/>
      <c r="AD165" s="43"/>
    </row>
    <row r="166" ht="15.75" customHeight="1">
      <c r="A166" s="99"/>
      <c r="B166" s="114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43"/>
      <c r="AD166" s="43"/>
    </row>
    <row r="167" ht="15.75" customHeight="1">
      <c r="A167" s="96"/>
      <c r="B167" s="85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43"/>
      <c r="AD167" s="43"/>
    </row>
    <row r="168" ht="15.75" customHeight="1">
      <c r="A168" s="99"/>
      <c r="B168" s="114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43"/>
      <c r="AD168" s="43"/>
    </row>
    <row r="169" ht="15.75" customHeight="1">
      <c r="A169" s="96"/>
      <c r="B169" s="85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43"/>
      <c r="AD169" s="43"/>
    </row>
    <row r="170" ht="15.75" customHeight="1">
      <c r="A170" s="99"/>
      <c r="B170" s="114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43"/>
      <c r="AD170" s="43"/>
    </row>
    <row r="171" ht="15.75" customHeight="1">
      <c r="A171" s="96"/>
      <c r="B171" s="85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43"/>
      <c r="AD171" s="43"/>
    </row>
    <row r="172" ht="15.75" customHeight="1">
      <c r="A172" s="99"/>
      <c r="B172" s="114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43"/>
      <c r="AD172" s="43"/>
    </row>
    <row r="173" ht="15.75" customHeight="1">
      <c r="A173" s="96"/>
      <c r="B173" s="85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43"/>
      <c r="AD173" s="43"/>
    </row>
    <row r="174" ht="15.75" customHeight="1">
      <c r="A174" s="99"/>
      <c r="B174" s="114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43"/>
      <c r="AD174" s="43"/>
    </row>
    <row r="175" ht="15.75" customHeight="1">
      <c r="A175" s="96"/>
      <c r="B175" s="85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43"/>
      <c r="AD175" s="43"/>
    </row>
    <row r="176" ht="15.75" customHeight="1">
      <c r="A176" s="99"/>
      <c r="B176" s="114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43"/>
      <c r="AD176" s="43"/>
    </row>
    <row r="177" ht="15.75" customHeight="1">
      <c r="A177" s="96"/>
      <c r="B177" s="85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43"/>
      <c r="AD177" s="43"/>
    </row>
    <row r="178" ht="15.75" customHeight="1">
      <c r="A178" s="99"/>
      <c r="B178" s="114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43"/>
      <c r="AD178" s="43"/>
    </row>
    <row r="179" ht="15.75" customHeight="1">
      <c r="A179" s="96"/>
      <c r="B179" s="85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43"/>
      <c r="AD179" s="43"/>
    </row>
    <row r="180" ht="15.75" customHeight="1">
      <c r="A180" s="99"/>
      <c r="B180" s="114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43"/>
      <c r="AD180" s="43"/>
    </row>
    <row r="181" ht="15.75" customHeight="1">
      <c r="A181" s="96"/>
      <c r="B181" s="85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43"/>
      <c r="AD181" s="43"/>
    </row>
    <row r="182" ht="15.75" customHeight="1">
      <c r="A182" s="99"/>
      <c r="B182" s="114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43"/>
      <c r="AD182" s="43"/>
    </row>
    <row r="183" ht="15.75" customHeight="1">
      <c r="A183" s="96"/>
      <c r="B183" s="85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43"/>
      <c r="AD183" s="43"/>
    </row>
    <row r="184" ht="15.75" customHeight="1">
      <c r="A184" s="99"/>
      <c r="B184" s="114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43"/>
      <c r="AD184" s="43"/>
    </row>
    <row r="185" ht="15.75" customHeight="1">
      <c r="A185" s="96"/>
      <c r="B185" s="85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43"/>
      <c r="AD185" s="43"/>
    </row>
    <row r="186" ht="15.75" customHeight="1">
      <c r="A186" s="99"/>
      <c r="B186" s="114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43"/>
      <c r="AD186" s="43"/>
    </row>
    <row r="187" ht="15.75" customHeight="1">
      <c r="A187" s="96"/>
      <c r="B187" s="85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43"/>
      <c r="AD187" s="43"/>
    </row>
    <row r="188" ht="15.75" customHeight="1">
      <c r="A188" s="99"/>
      <c r="B188" s="114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43"/>
      <c r="AD188" s="43"/>
    </row>
    <row r="189" ht="15.75" customHeight="1">
      <c r="A189" s="96"/>
      <c r="B189" s="85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43"/>
      <c r="AD189" s="43"/>
    </row>
    <row r="190" ht="15.75" customHeight="1">
      <c r="A190" s="99"/>
      <c r="B190" s="114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43"/>
      <c r="AD190" s="43"/>
    </row>
    <row r="191" ht="15.75" customHeight="1">
      <c r="A191" s="96"/>
      <c r="B191" s="85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43"/>
      <c r="AD191" s="43"/>
    </row>
    <row r="192" ht="15.75" customHeight="1">
      <c r="A192" s="99"/>
      <c r="B192" s="114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43"/>
      <c r="AD192" s="43"/>
    </row>
    <row r="193" ht="15.75" customHeight="1">
      <c r="A193" s="96"/>
      <c r="B193" s="85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43"/>
      <c r="AD193" s="43"/>
    </row>
    <row r="194" ht="15.75" customHeight="1">
      <c r="A194" s="99"/>
      <c r="B194" s="114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43"/>
      <c r="AD194" s="43"/>
    </row>
    <row r="195" ht="15.75" customHeight="1">
      <c r="A195" s="96"/>
      <c r="B195" s="85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43"/>
      <c r="AD195" s="43"/>
    </row>
    <row r="196" ht="15.75" customHeight="1">
      <c r="A196" s="99"/>
      <c r="B196" s="114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43"/>
      <c r="AD196" s="43"/>
    </row>
    <row r="197" ht="15.75" customHeight="1">
      <c r="A197" s="96"/>
      <c r="B197" s="85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43"/>
      <c r="AD197" s="43"/>
    </row>
    <row r="198" ht="15.75" customHeight="1">
      <c r="A198" s="99"/>
      <c r="B198" s="114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43"/>
      <c r="AD198" s="43"/>
    </row>
    <row r="199" ht="15.75" customHeight="1">
      <c r="A199" s="96"/>
      <c r="B199" s="85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43"/>
      <c r="AD199" s="43"/>
    </row>
    <row r="200" ht="15.75" customHeight="1">
      <c r="A200" s="99"/>
      <c r="B200" s="114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43"/>
      <c r="AD200" s="43"/>
    </row>
    <row r="201" ht="15.75" customHeight="1">
      <c r="A201" s="96"/>
      <c r="B201" s="85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43"/>
      <c r="AD201" s="43"/>
    </row>
    <row r="202" ht="15.75" customHeight="1">
      <c r="A202" s="99"/>
      <c r="B202" s="114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43"/>
      <c r="AD202" s="43"/>
    </row>
    <row r="203" ht="15.75" customHeight="1">
      <c r="A203" s="96"/>
      <c r="B203" s="85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43"/>
      <c r="AD203" s="43"/>
    </row>
    <row r="204" ht="15.75" customHeight="1">
      <c r="A204" s="99"/>
      <c r="B204" s="114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43"/>
      <c r="AD204" s="43"/>
    </row>
    <row r="205" ht="15.75" customHeight="1">
      <c r="A205" s="96"/>
      <c r="B205" s="85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43"/>
      <c r="AD205" s="43"/>
    </row>
    <row r="206" ht="15.75" customHeight="1">
      <c r="A206" s="99"/>
      <c r="B206" s="114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43"/>
      <c r="AD206" s="43"/>
    </row>
    <row r="207" ht="15.75" customHeight="1">
      <c r="A207" s="96"/>
      <c r="B207" s="85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43"/>
      <c r="AD207" s="43"/>
    </row>
    <row r="208" ht="15.75" customHeight="1">
      <c r="A208" s="99"/>
      <c r="B208" s="114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43"/>
      <c r="AD208" s="43"/>
    </row>
    <row r="209" ht="15.75" customHeight="1">
      <c r="A209" s="96"/>
      <c r="B209" s="85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43"/>
      <c r="AD209" s="43"/>
    </row>
    <row r="210" ht="15.75" customHeight="1">
      <c r="A210" s="99"/>
      <c r="B210" s="114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43"/>
      <c r="AD210" s="43"/>
    </row>
    <row r="211" ht="15.75" customHeight="1">
      <c r="A211" s="96"/>
      <c r="B211" s="85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43"/>
      <c r="AD211" s="43"/>
    </row>
    <row r="212" ht="15.75" customHeight="1">
      <c r="A212" s="99"/>
      <c r="B212" s="114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43"/>
      <c r="AD212" s="43"/>
    </row>
    <row r="213" ht="15.75" customHeight="1">
      <c r="A213" s="96"/>
      <c r="B213" s="85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43"/>
      <c r="AD213" s="43"/>
    </row>
    <row r="214" ht="15.75" customHeight="1">
      <c r="A214" s="99"/>
      <c r="B214" s="114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43"/>
      <c r="AD214" s="43"/>
    </row>
    <row r="215" ht="15.75" customHeight="1">
      <c r="A215" s="96"/>
      <c r="B215" s="85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43"/>
      <c r="AD215" s="43"/>
    </row>
    <row r="216" ht="15.75" customHeight="1">
      <c r="A216" s="99"/>
      <c r="B216" s="114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43"/>
      <c r="AD216" s="43"/>
    </row>
    <row r="217" ht="15.75" customHeight="1">
      <c r="A217" s="96"/>
      <c r="B217" s="85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43"/>
      <c r="AD217" s="43"/>
    </row>
    <row r="218" ht="15.75" customHeight="1">
      <c r="A218" s="99"/>
      <c r="B218" s="114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43"/>
      <c r="AD218" s="43"/>
    </row>
    <row r="219" ht="15.75" customHeight="1">
      <c r="A219" s="96"/>
      <c r="B219" s="85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43"/>
      <c r="AD219" s="43"/>
    </row>
    <row r="220" ht="15.75" customHeight="1">
      <c r="A220" s="99"/>
      <c r="B220" s="114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43"/>
      <c r="AD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3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printOptions/>
  <pageMargins bottom="0.75" footer="0.0" header="0.0" left="0.7" right="0.7" top="0.75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2"/>
  <cols>
    <col customWidth="1" min="1" max="1" width="32.88"/>
    <col customWidth="1" min="2" max="2" width="21.13"/>
    <col customWidth="1" min="4" max="4" width="35.13"/>
    <col customWidth="1" min="7" max="7" width="34.5"/>
    <col customWidth="1" min="10" max="10" width="36.63"/>
  </cols>
  <sheetData>
    <row r="1">
      <c r="A1" s="118" t="s">
        <v>57</v>
      </c>
      <c r="B1" s="119"/>
      <c r="C1" s="43"/>
      <c r="D1" s="118" t="s">
        <v>58</v>
      </c>
      <c r="E1" s="119"/>
      <c r="F1" s="43"/>
      <c r="G1" s="118" t="s">
        <v>59</v>
      </c>
      <c r="H1" s="119"/>
      <c r="I1" s="43"/>
      <c r="J1" s="118" t="s">
        <v>8</v>
      </c>
      <c r="K1" s="119"/>
    </row>
    <row r="2" ht="15.75" customHeight="1">
      <c r="A2" s="120" t="s">
        <v>60</v>
      </c>
      <c r="B2" s="120" t="s">
        <v>0</v>
      </c>
      <c r="C2" s="43"/>
      <c r="D2" s="120" t="s">
        <v>60</v>
      </c>
      <c r="E2" s="120" t="s">
        <v>0</v>
      </c>
      <c r="F2" s="43"/>
      <c r="G2" s="120" t="s">
        <v>60</v>
      </c>
      <c r="H2" s="120" t="s">
        <v>0</v>
      </c>
      <c r="I2" s="43"/>
      <c r="J2" s="120" t="s">
        <v>60</v>
      </c>
      <c r="K2" s="120" t="s">
        <v>0</v>
      </c>
    </row>
    <row r="3" ht="15.75" customHeight="1">
      <c r="A3" s="121" t="s">
        <v>61</v>
      </c>
      <c r="B3" s="122"/>
      <c r="C3" s="43"/>
      <c r="D3" s="121" t="s">
        <v>61</v>
      </c>
      <c r="E3" s="122"/>
      <c r="F3" s="43"/>
      <c r="G3" s="121" t="s">
        <v>61</v>
      </c>
      <c r="H3" s="122"/>
      <c r="I3" s="43"/>
      <c r="J3" s="121" t="s">
        <v>61</v>
      </c>
      <c r="K3" s="122"/>
    </row>
    <row r="4" ht="15.75" customHeight="1">
      <c r="A4" s="123" t="s">
        <v>62</v>
      </c>
      <c r="B4" s="124">
        <f>SUMIFS('GASTOS DETALHADOS'!$C:$C,'GASTOS DETALHADOS'!$E:$E,A$1,'GASTOS DETALHADOS'!$F:$F,A4)</f>
        <v>11786.73</v>
      </c>
      <c r="C4" s="43"/>
      <c r="D4" s="123" t="s">
        <v>62</v>
      </c>
      <c r="E4" s="124">
        <f>SUMIFS('GASTOS DETALHADOS'!$C:$C,'GASTOS DETALHADOS'!$E:$E,D$1,'GASTOS DETALHADOS'!$F:$F,D4)</f>
        <v>0</v>
      </c>
      <c r="F4" s="43"/>
      <c r="G4" s="123" t="s">
        <v>62</v>
      </c>
      <c r="H4" s="124">
        <f>SUMIFS('GASTOS DETALHADOS'!$C:$C,'GASTOS DETALHADOS'!$E:$E,G$1,'GASTOS DETALHADOS'!$F:$F,G4)</f>
        <v>0</v>
      </c>
      <c r="I4" s="43"/>
      <c r="J4" s="123" t="s">
        <v>62</v>
      </c>
      <c r="K4" s="124">
        <f>SUMIFS('GASTOS DETALHADOS'!$C:$C,'GASTOS DETALHADOS'!$E:$E,J$1,'GASTOS DETALHADOS'!$F:$F,J4)</f>
        <v>0</v>
      </c>
    </row>
    <row r="5" ht="15.75" customHeight="1">
      <c r="A5" s="123" t="s">
        <v>63</v>
      </c>
      <c r="B5" s="125"/>
      <c r="C5" s="43"/>
      <c r="D5" s="123" t="s">
        <v>63</v>
      </c>
      <c r="E5" s="125"/>
      <c r="F5" s="43"/>
      <c r="G5" s="123" t="s">
        <v>63</v>
      </c>
      <c r="H5" s="125"/>
      <c r="I5" s="43"/>
      <c r="J5" s="123" t="s">
        <v>63</v>
      </c>
      <c r="K5" s="125"/>
    </row>
    <row r="6" ht="15.75" customHeight="1">
      <c r="A6" s="126"/>
      <c r="B6" s="127">
        <f>SUM(B4:B5)</f>
        <v>11786.73</v>
      </c>
      <c r="C6" s="43"/>
      <c r="D6" s="126"/>
      <c r="E6" s="127">
        <f>SUM(E4:E5)</f>
        <v>0</v>
      </c>
      <c r="F6" s="43"/>
      <c r="G6" s="126"/>
      <c r="H6" s="127">
        <f>SUM(H4:H5)</f>
        <v>0</v>
      </c>
      <c r="I6" s="43"/>
      <c r="J6" s="126"/>
      <c r="K6" s="127">
        <f>SUM(K4:K5)</f>
        <v>0</v>
      </c>
    </row>
    <row r="7" ht="15.75" customHeight="1">
      <c r="A7" s="123" t="s">
        <v>64</v>
      </c>
      <c r="B7" s="128"/>
      <c r="C7" s="43"/>
      <c r="D7" s="123" t="s">
        <v>64</v>
      </c>
      <c r="E7" s="128"/>
      <c r="F7" s="43"/>
      <c r="G7" s="123" t="s">
        <v>64</v>
      </c>
      <c r="H7" s="128"/>
      <c r="I7" s="43"/>
      <c r="J7" s="123" t="s">
        <v>64</v>
      </c>
      <c r="K7" s="128"/>
    </row>
    <row r="8" ht="15.75" customHeight="1">
      <c r="A8" s="123" t="s">
        <v>65</v>
      </c>
      <c r="B8" s="124">
        <f>SUMIFS('GASTOS DETALHADOS'!$C:$C,'GASTOS DETALHADOS'!$E:$E,A$1,'GASTOS DETALHADOS'!$F:$F,A8)</f>
        <v>32088.31</v>
      </c>
      <c r="C8" s="43"/>
      <c r="D8" s="123" t="s">
        <v>65</v>
      </c>
      <c r="E8" s="124">
        <f>SUMIFS('GASTOS DETALHADOS'!$C:$C,'GASTOS DETALHADOS'!$E:$E,D$1,'GASTOS DETALHADOS'!$F:$F,D8)</f>
        <v>0</v>
      </c>
      <c r="F8" s="43"/>
      <c r="G8" s="123" t="s">
        <v>65</v>
      </c>
      <c r="H8" s="124">
        <f>SUMIFS('GASTOS DETALHADOS'!$C:$C,'GASTOS DETALHADOS'!$E:$E,G$1,'GASTOS DETALHADOS'!$F:$F,G8)</f>
        <v>0</v>
      </c>
      <c r="I8" s="43"/>
      <c r="J8" s="123" t="s">
        <v>65</v>
      </c>
      <c r="K8" s="124">
        <f>SUMIFS('GASTOS DETALHADOS'!$C:$C,'GASTOS DETALHADOS'!$E:$E,J$1,'GASTOS DETALHADOS'!$F:$F,J8)</f>
        <v>0</v>
      </c>
    </row>
    <row r="9" ht="15.75" customHeight="1">
      <c r="A9" s="123" t="s">
        <v>63</v>
      </c>
      <c r="B9" s="125"/>
      <c r="C9" s="43"/>
      <c r="D9" s="123" t="s">
        <v>63</v>
      </c>
      <c r="E9" s="125"/>
      <c r="F9" s="43"/>
      <c r="G9" s="123" t="s">
        <v>63</v>
      </c>
      <c r="H9" s="125"/>
      <c r="I9" s="43"/>
      <c r="J9" s="123" t="s">
        <v>63</v>
      </c>
      <c r="K9" s="125"/>
    </row>
    <row r="10" ht="15.75" customHeight="1">
      <c r="A10" s="126"/>
      <c r="B10" s="127">
        <f>SUM(B8:B9)</f>
        <v>32088.31</v>
      </c>
      <c r="C10" s="43"/>
      <c r="D10" s="126"/>
      <c r="E10" s="127">
        <f>SUM(E8:E9)</f>
        <v>0</v>
      </c>
      <c r="F10" s="43"/>
      <c r="G10" s="126"/>
      <c r="H10" s="127">
        <f>SUM(H8:H9)</f>
        <v>0</v>
      </c>
      <c r="I10" s="43"/>
      <c r="J10" s="126"/>
      <c r="K10" s="127">
        <f>SUM(K8:K9)</f>
        <v>0</v>
      </c>
    </row>
    <row r="11" ht="15.75" customHeight="1">
      <c r="A11" s="123" t="s">
        <v>66</v>
      </c>
      <c r="B11" s="128"/>
      <c r="C11" s="43"/>
      <c r="D11" s="123" t="s">
        <v>66</v>
      </c>
      <c r="E11" s="128"/>
      <c r="F11" s="43"/>
      <c r="G11" s="123" t="s">
        <v>66</v>
      </c>
      <c r="H11" s="128"/>
      <c r="I11" s="43"/>
      <c r="J11" s="123" t="s">
        <v>66</v>
      </c>
      <c r="K11" s="128"/>
    </row>
    <row r="12">
      <c r="A12" s="123" t="s">
        <v>67</v>
      </c>
      <c r="B12" s="124">
        <f>SUMIFS('GASTOS DETALHADOS'!$C:$C,'GASTOS DETALHADOS'!$E:$E,A$1,'GASTOS DETALHADOS'!$F:$F,A12)</f>
        <v>265.7</v>
      </c>
      <c r="C12" s="43"/>
      <c r="D12" s="123" t="s">
        <v>67</v>
      </c>
      <c r="E12" s="124">
        <f>SUMIFS('GASTOS DETALHADOS'!$C:$C,'GASTOS DETALHADOS'!$E:$E,D$1,'GASTOS DETALHADOS'!$F:$F,D12)</f>
        <v>355.89</v>
      </c>
      <c r="F12" s="43"/>
      <c r="G12" s="123" t="s">
        <v>67</v>
      </c>
      <c r="H12" s="124">
        <f>SUMIFS('GASTOS DETALHADOS'!$C:$C,'GASTOS DETALHADOS'!$E:$E,G$1,'GASTOS DETALHADOS'!$F:$F,G12)</f>
        <v>0</v>
      </c>
      <c r="I12" s="43"/>
      <c r="J12" s="123" t="s">
        <v>67</v>
      </c>
      <c r="K12" s="124">
        <f>SUMIFS('GASTOS DETALHADOS'!$C:$C,'GASTOS DETALHADOS'!$E:$E,J$1,'GASTOS DETALHADOS'!$F:$F,J12)</f>
        <v>0</v>
      </c>
    </row>
    <row r="13">
      <c r="A13" s="123" t="s">
        <v>68</v>
      </c>
      <c r="B13" s="124">
        <f>SUMIFS('GASTOS DETALHADOS'!$C:$C,'GASTOS DETALHADOS'!$E:$E,A$1,'GASTOS DETALHADOS'!$F:$F,A13)</f>
        <v>3369</v>
      </c>
      <c r="C13" s="43"/>
      <c r="D13" s="123" t="s">
        <v>68</v>
      </c>
      <c r="E13" s="124">
        <f>SUMIFS('GASTOS DETALHADOS'!$C:$C,'GASTOS DETALHADOS'!$E:$E,D$1,'GASTOS DETALHADOS'!$F:$F,D13)</f>
        <v>3210</v>
      </c>
      <c r="F13" s="43"/>
      <c r="G13" s="123" t="s">
        <v>68</v>
      </c>
      <c r="H13" s="124">
        <f>SUMIFS('GASTOS DETALHADOS'!$C:$C,'GASTOS DETALHADOS'!$E:$E,G$1,'GASTOS DETALHADOS'!$F:$F,G13)</f>
        <v>0</v>
      </c>
      <c r="I13" s="43"/>
      <c r="J13" s="123" t="s">
        <v>68</v>
      </c>
      <c r="K13" s="124">
        <f>SUMIFS('GASTOS DETALHADOS'!$C:$C,'GASTOS DETALHADOS'!$E:$E,J$1,'GASTOS DETALHADOS'!$F:$F,J13)</f>
        <v>0</v>
      </c>
    </row>
    <row r="14" ht="15.75" customHeight="1">
      <c r="A14" s="123" t="s">
        <v>63</v>
      </c>
      <c r="B14" s="124">
        <f>SUMIFS('GASTOS DETALHADOS'!$C:$C,'GASTOS DETALHADOS'!$E:$E,A$1,'GASTOS DETALHADOS'!$F:$F,A14)</f>
        <v>0</v>
      </c>
      <c r="C14" s="43"/>
      <c r="D14" s="123" t="s">
        <v>63</v>
      </c>
      <c r="E14" s="124">
        <f>SUMIFS('GASTOS DETALHADOS'!$C:$C,'GASTOS DETALHADOS'!$E:$E,D$1,'GASTOS DETALHADOS'!$F:$F,D14)</f>
        <v>0</v>
      </c>
      <c r="F14" s="43"/>
      <c r="G14" s="123" t="s">
        <v>63</v>
      </c>
      <c r="H14" s="124">
        <f>SUMIFS('GASTOS DETALHADOS'!$C:$C,'GASTOS DETALHADOS'!$E:$E,G$1,'GASTOS DETALHADOS'!$F:$F,G14)</f>
        <v>0</v>
      </c>
      <c r="I14" s="43"/>
      <c r="J14" s="123" t="s">
        <v>63</v>
      </c>
      <c r="K14" s="124">
        <f>SUMIFS('GASTOS DETALHADOS'!$C:$C,'GASTOS DETALHADOS'!$E:$E,J$1,'GASTOS DETALHADOS'!$F:$F,J14)</f>
        <v>0</v>
      </c>
    </row>
    <row r="15" ht="15.75" customHeight="1">
      <c r="A15" s="129"/>
      <c r="B15" s="127">
        <f>SUM(B12:B14)</f>
        <v>3634.7</v>
      </c>
      <c r="C15" s="43"/>
      <c r="D15" s="129"/>
      <c r="E15" s="127">
        <f>SUM(E12:E14)</f>
        <v>3565.89</v>
      </c>
      <c r="F15" s="43"/>
      <c r="G15" s="129"/>
      <c r="H15" s="127">
        <f>SUM(H12:H14)</f>
        <v>0</v>
      </c>
      <c r="I15" s="43"/>
      <c r="J15" s="129"/>
      <c r="K15" s="127">
        <f>SUM(K12:K14)</f>
        <v>0</v>
      </c>
    </row>
    <row r="16" ht="15.75" customHeight="1">
      <c r="A16" s="123" t="s">
        <v>69</v>
      </c>
      <c r="B16" s="128"/>
      <c r="C16" s="43"/>
      <c r="D16" s="123" t="s">
        <v>69</v>
      </c>
      <c r="E16" s="128"/>
      <c r="F16" s="43"/>
      <c r="G16" s="123" t="s">
        <v>69</v>
      </c>
      <c r="H16" s="128"/>
      <c r="I16" s="43"/>
      <c r="J16" s="123" t="s">
        <v>69</v>
      </c>
      <c r="K16" s="128"/>
    </row>
    <row r="17" ht="15.75" customHeight="1">
      <c r="A17" s="123" t="s">
        <v>70</v>
      </c>
      <c r="B17" s="124">
        <f>SUMIFS('GASTOS DETALHADOS'!$C:$C,'GASTOS DETALHADOS'!$E:$E,A$1,'GASTOS DETALHADOS'!$F:$F,A17)</f>
        <v>19</v>
      </c>
      <c r="C17" s="43"/>
      <c r="D17" s="123" t="s">
        <v>70</v>
      </c>
      <c r="E17" s="124">
        <f>SUMIFS('GASTOS DETALHADOS'!$C:$C,'GASTOS DETALHADOS'!$E:$E,D$1,'GASTOS DETALHADOS'!$F:$F,D17)</f>
        <v>514.0933333</v>
      </c>
      <c r="F17" s="43"/>
      <c r="G17" s="123" t="s">
        <v>70</v>
      </c>
      <c r="H17" s="124">
        <f>SUMIFS('GASTOS DETALHADOS'!$C:$C,'GASTOS DETALHADOS'!$E:$E,G$1,'GASTOS DETALHADOS'!$F:$F,G17)</f>
        <v>514.0933333</v>
      </c>
      <c r="I17" s="43"/>
      <c r="J17" s="123" t="s">
        <v>70</v>
      </c>
      <c r="K17" s="124">
        <f>SUMIFS('GASTOS DETALHADOS'!$C:$C,'GASTOS DETALHADOS'!$E:$E,J$1,'GASTOS DETALHADOS'!$F:$F,J17)</f>
        <v>514.0933333</v>
      </c>
    </row>
    <row r="18" ht="15.75" customHeight="1">
      <c r="A18" s="123" t="s">
        <v>63</v>
      </c>
      <c r="B18" s="124">
        <f>SUMIFS('GASTOS DETALHADOS'!$C:$C,'GASTOS DETALHADOS'!$E:$E,A$1,'GASTOS DETALHADOS'!$F:$F,A18)</f>
        <v>0</v>
      </c>
      <c r="C18" s="43"/>
      <c r="D18" s="123" t="s">
        <v>63</v>
      </c>
      <c r="E18" s="124">
        <f>SUMIFS('GASTOS DETALHADOS'!$C:$C,'GASTOS DETALHADOS'!$E:$E,D$1,'GASTOS DETALHADOS'!$F:$F,D18)</f>
        <v>0</v>
      </c>
      <c r="F18" s="43"/>
      <c r="G18" s="123" t="s">
        <v>63</v>
      </c>
      <c r="H18" s="124">
        <f>SUMIFS('GASTOS DETALHADOS'!$C:$C,'GASTOS DETALHADOS'!$E:$E,G$1,'GASTOS DETALHADOS'!$F:$F,G18)</f>
        <v>0</v>
      </c>
      <c r="I18" s="43"/>
      <c r="J18" s="123" t="s">
        <v>63</v>
      </c>
      <c r="K18" s="124">
        <f>SUMIFS('GASTOS DETALHADOS'!$C:$C,'GASTOS DETALHADOS'!$E:$E,J$1,'GASTOS DETALHADOS'!$F:$F,J18)</f>
        <v>0</v>
      </c>
    </row>
    <row r="19" ht="15.75" customHeight="1">
      <c r="A19" s="130"/>
      <c r="B19" s="127">
        <f>SUM(B17:B18)</f>
        <v>19</v>
      </c>
      <c r="C19" s="43"/>
      <c r="D19" s="130"/>
      <c r="E19" s="127">
        <f>SUM(E17:E18)</f>
        <v>514.0933333</v>
      </c>
      <c r="F19" s="43"/>
      <c r="G19" s="130"/>
      <c r="H19" s="127">
        <f>SUM(H17:H18)</f>
        <v>514.0933333</v>
      </c>
      <c r="I19" s="43"/>
      <c r="J19" s="130"/>
      <c r="K19" s="127">
        <f>SUM(K17:K18)</f>
        <v>514.0933333</v>
      </c>
    </row>
    <row r="20" ht="15.75" customHeight="1">
      <c r="A20" s="123" t="s">
        <v>71</v>
      </c>
      <c r="B20" s="128"/>
      <c r="C20" s="43"/>
      <c r="D20" s="123" t="s">
        <v>71</v>
      </c>
      <c r="E20" s="128"/>
      <c r="F20" s="43"/>
      <c r="G20" s="123" t="s">
        <v>71</v>
      </c>
      <c r="H20" s="124">
        <f>SUMIFS('GASTOS DETALHADOS'!$C:$C,'GASTOS DETALHADOS'!$E:$E,G$1,'GASTOS DETALHADOS'!$F:$F,G20)</f>
        <v>0</v>
      </c>
      <c r="I20" s="43"/>
      <c r="J20" s="123" t="s">
        <v>71</v>
      </c>
      <c r="K20" s="128"/>
    </row>
    <row r="21" ht="15.75" customHeight="1">
      <c r="A21" s="123" t="s">
        <v>72</v>
      </c>
      <c r="B21" s="124">
        <f>SUMIFS('GASTOS DETALHADOS'!$C:$C,'GASTOS DETALHADOS'!$E:$E,A$1,'GASTOS DETALHADOS'!$F:$F,A21)</f>
        <v>0</v>
      </c>
      <c r="C21" s="43"/>
      <c r="D21" s="123" t="s">
        <v>72</v>
      </c>
      <c r="E21" s="124">
        <f>SUMIFS('GASTOS DETALHADOS'!$C:$C,'GASTOS DETALHADOS'!$E:$E,D$1,'GASTOS DETALHADOS'!$F:$F,D21)</f>
        <v>0</v>
      </c>
      <c r="F21" s="43"/>
      <c r="G21" s="123" t="s">
        <v>72</v>
      </c>
      <c r="H21" s="124">
        <f>SUMIFS('GASTOS DETALHADOS'!$C:$C,'GASTOS DETALHADOS'!$E:$E,G$1,'GASTOS DETALHADOS'!$F:$F,G21)</f>
        <v>0</v>
      </c>
      <c r="I21" s="43"/>
      <c r="J21" s="123" t="s">
        <v>72</v>
      </c>
      <c r="K21" s="124">
        <f>SUMIFS('GASTOS DETALHADOS'!$C:$C,'GASTOS DETALHADOS'!$E:$E,J$1,'GASTOS DETALHADOS'!$F:$F,J21)</f>
        <v>0</v>
      </c>
    </row>
    <row r="22" ht="15.75" customHeight="1">
      <c r="A22" s="123" t="s">
        <v>63</v>
      </c>
      <c r="B22" s="124">
        <f>SUMIFS('GASTOS DETALHADOS'!$C:$C,'GASTOS DETALHADOS'!$E:$E,A$1,'GASTOS DETALHADOS'!$F:$F,A22)</f>
        <v>0</v>
      </c>
      <c r="C22" s="43"/>
      <c r="D22" s="123" t="s">
        <v>63</v>
      </c>
      <c r="E22" s="124">
        <f>SUMIFS('GASTOS DETALHADOS'!$C:$C,'GASTOS DETALHADOS'!$E:$E,D$1,'GASTOS DETALHADOS'!$F:$F,D22)</f>
        <v>0</v>
      </c>
      <c r="F22" s="43"/>
      <c r="G22" s="123" t="s">
        <v>63</v>
      </c>
      <c r="H22" s="124">
        <f>SUMIFS('GASTOS DETALHADOS'!$C:$C,'GASTOS DETALHADOS'!$E:$E,G$1,'GASTOS DETALHADOS'!$F:$F,G22)</f>
        <v>0</v>
      </c>
      <c r="I22" s="43"/>
      <c r="J22" s="123" t="s">
        <v>63</v>
      </c>
      <c r="K22" s="124">
        <f>SUMIFS('GASTOS DETALHADOS'!$C:$C,'GASTOS DETALHADOS'!$E:$E,J$1,'GASTOS DETALHADOS'!$F:$F,J22)</f>
        <v>0</v>
      </c>
    </row>
    <row r="23" ht="15.75" customHeight="1">
      <c r="A23" s="130"/>
      <c r="B23" s="127">
        <f>SUM(B21:B22)</f>
        <v>0</v>
      </c>
      <c r="C23" s="43"/>
      <c r="D23" s="130"/>
      <c r="E23" s="127">
        <f>SUM(E21:E22)</f>
        <v>0</v>
      </c>
      <c r="F23" s="43"/>
      <c r="G23" s="130"/>
      <c r="H23" s="127">
        <f>SUM(H21:H22)</f>
        <v>0</v>
      </c>
      <c r="I23" s="43"/>
      <c r="J23" s="130"/>
      <c r="K23" s="127">
        <f>SUM(K21:K22)</f>
        <v>0</v>
      </c>
    </row>
    <row r="24" ht="15.75" customHeight="1">
      <c r="A24" s="123" t="s">
        <v>73</v>
      </c>
      <c r="B24" s="128"/>
      <c r="C24" s="43"/>
      <c r="D24" s="123" t="s">
        <v>73</v>
      </c>
      <c r="E24" s="128"/>
      <c r="F24" s="43"/>
      <c r="G24" s="123" t="s">
        <v>73</v>
      </c>
      <c r="H24" s="128"/>
      <c r="I24" s="43"/>
      <c r="J24" s="123" t="s">
        <v>73</v>
      </c>
      <c r="K24" s="128"/>
    </row>
    <row r="25" ht="15.75" customHeight="1">
      <c r="A25" s="123" t="s">
        <v>74</v>
      </c>
      <c r="B25" s="124">
        <f>SUMIFS('GASTOS DETALHADOS'!$C:$C,'GASTOS DETALHADOS'!$E:$E,A$1,'GASTOS DETALHADOS'!$F:$F,A25)</f>
        <v>0</v>
      </c>
      <c r="C25" s="43"/>
      <c r="D25" s="123" t="s">
        <v>74</v>
      </c>
      <c r="E25" s="124">
        <f>SUMIFS('GASTOS DETALHADOS'!$C:$C,'GASTOS DETALHADOS'!$E:$E,D$1,'GASTOS DETALHADOS'!$F:$F,D25)</f>
        <v>0</v>
      </c>
      <c r="F25" s="43"/>
      <c r="G25" s="123" t="s">
        <v>74</v>
      </c>
      <c r="H25" s="124">
        <f>SUMIFS('GASTOS DETALHADOS'!$C:$C,'GASTOS DETALHADOS'!$E:$E,G$1,'GASTOS DETALHADOS'!$F:$F,G25)</f>
        <v>0</v>
      </c>
      <c r="I25" s="43"/>
      <c r="J25" s="123" t="s">
        <v>74</v>
      </c>
      <c r="K25" s="124">
        <f>SUMIFS('GASTOS DETALHADOS'!$C:$C,'GASTOS DETALHADOS'!$E:$E,J$1,'GASTOS DETALHADOS'!$F:$F,J25)</f>
        <v>395</v>
      </c>
    </row>
    <row r="26" ht="15.75" customHeight="1">
      <c r="A26" s="123" t="s">
        <v>73</v>
      </c>
      <c r="B26" s="124">
        <f>SUMIFS('GASTOS DETALHADOS'!$C:$C,'GASTOS DETALHADOS'!$E:$E,A$1,'GASTOS DETALHADOS'!$F:$F,A26)</f>
        <v>650</v>
      </c>
      <c r="C26" s="43"/>
      <c r="D26" s="123" t="s">
        <v>73</v>
      </c>
      <c r="E26" s="124">
        <f>SUMIFS('GASTOS DETALHADOS'!$C:$C,'GASTOS DETALHADOS'!$E:$E,D$1,'GASTOS DETALHADOS'!$F:$F,D26)</f>
        <v>515.3</v>
      </c>
      <c r="F26" s="43"/>
      <c r="G26" s="123" t="s">
        <v>73</v>
      </c>
      <c r="H26" s="124">
        <f>SUMIFS('GASTOS DETALHADOS'!$C:$C,'GASTOS DETALHADOS'!$E:$E,G$1,'GASTOS DETALHADOS'!$F:$F,G26)</f>
        <v>0</v>
      </c>
      <c r="I26" s="43"/>
      <c r="J26" s="123" t="s">
        <v>73</v>
      </c>
      <c r="K26" s="124">
        <f>SUMIFS('GASTOS DETALHADOS'!$C:$C,'GASTOS DETALHADOS'!$E:$E,J$1,'GASTOS DETALHADOS'!$F:$F,J26)</f>
        <v>0</v>
      </c>
    </row>
    <row r="27" ht="15.75" customHeight="1">
      <c r="A27" s="126"/>
      <c r="B27" s="127">
        <f>SUM(B25:B26)</f>
        <v>650</v>
      </c>
      <c r="C27" s="43"/>
      <c r="D27" s="126"/>
      <c r="E27" s="127">
        <f>SUM(E25:E26)</f>
        <v>515.3</v>
      </c>
      <c r="F27" s="43"/>
      <c r="G27" s="126"/>
      <c r="H27" s="127">
        <f>SUM(H25:H26)</f>
        <v>0</v>
      </c>
      <c r="I27" s="43"/>
      <c r="J27" s="126"/>
      <c r="K27" s="127">
        <f>SUM(K25:K26)</f>
        <v>395</v>
      </c>
    </row>
    <row r="28" ht="15.75" customHeight="1">
      <c r="A28" s="123" t="s">
        <v>75</v>
      </c>
      <c r="B28" s="128"/>
      <c r="C28" s="43"/>
      <c r="D28" s="123" t="s">
        <v>75</v>
      </c>
      <c r="E28" s="128"/>
      <c r="F28" s="43"/>
      <c r="G28" s="123" t="s">
        <v>75</v>
      </c>
      <c r="H28" s="128"/>
      <c r="I28" s="43"/>
      <c r="J28" s="123" t="s">
        <v>75</v>
      </c>
      <c r="K28" s="128"/>
    </row>
    <row r="29" ht="15.75" customHeight="1">
      <c r="A29" s="123" t="s">
        <v>76</v>
      </c>
      <c r="B29" s="131">
        <v>6546.3</v>
      </c>
      <c r="C29" s="43"/>
      <c r="D29" s="132" t="s">
        <v>77</v>
      </c>
      <c r="E29" s="125">
        <v>1500.0</v>
      </c>
      <c r="F29" s="43"/>
      <c r="G29" s="132" t="s">
        <v>77</v>
      </c>
      <c r="H29" s="125">
        <v>1000.0</v>
      </c>
      <c r="I29" s="43"/>
      <c r="J29" s="132" t="s">
        <v>77</v>
      </c>
      <c r="K29" s="125">
        <v>800.0</v>
      </c>
    </row>
    <row r="30" ht="15.75" customHeight="1">
      <c r="A30" s="123" t="s">
        <v>77</v>
      </c>
      <c r="B30" s="133">
        <v>1500.0</v>
      </c>
      <c r="C30" s="43"/>
      <c r="D30" s="132" t="s">
        <v>78</v>
      </c>
      <c r="E30" s="134">
        <v>278.0</v>
      </c>
      <c r="F30" s="43"/>
      <c r="G30" s="132" t="s">
        <v>78</v>
      </c>
      <c r="H30" s="134">
        <v>278.0</v>
      </c>
      <c r="I30" s="43"/>
      <c r="J30" s="132" t="s">
        <v>78</v>
      </c>
      <c r="K30" s="134">
        <v>164.0</v>
      </c>
    </row>
    <row r="31" ht="15.75" customHeight="1">
      <c r="A31" s="123" t="s">
        <v>79</v>
      </c>
      <c r="B31" s="124">
        <f>SUMIFS('GASTOS DETALHADOS'!$C:$C,'GASTOS DETALHADOS'!$E:$E,A$1,'GASTOS DETALHADOS'!$F:$F,A31)</f>
        <v>175.26</v>
      </c>
      <c r="C31" s="43"/>
      <c r="D31" s="123" t="s">
        <v>79</v>
      </c>
      <c r="E31" s="124">
        <f>SUMIFS('GASTOS DETALHADOS'!$C:$C,'GASTOS DETALHADOS'!$E:$E,D$1,'GASTOS DETALHADOS'!$F:$F,D31)</f>
        <v>0</v>
      </c>
      <c r="F31" s="43"/>
      <c r="G31" s="123" t="s">
        <v>79</v>
      </c>
      <c r="H31" s="124">
        <f>SUMIFS('GASTOS DETALHADOS'!$C:$C,'GASTOS DETALHADOS'!$E:$E,G$1,'GASTOS DETALHADOS'!$F:$F,G31)</f>
        <v>0</v>
      </c>
      <c r="I31" s="43"/>
      <c r="J31" s="123" t="s">
        <v>79</v>
      </c>
      <c r="K31" s="124">
        <f>SUMIFS('GASTOS DETALHADOS'!$C:$C,'GASTOS DETALHADOS'!$E:$E,J$1,'GASTOS DETALHADOS'!$F:$F,J31)</f>
        <v>0</v>
      </c>
    </row>
    <row r="32" ht="15.75" customHeight="1">
      <c r="A32" s="126"/>
      <c r="B32" s="135">
        <f>SUM(B29:B31)</f>
        <v>8221.56</v>
      </c>
      <c r="C32" s="43"/>
      <c r="D32" s="126"/>
      <c r="E32" s="135">
        <f>SUM(E29:E31)</f>
        <v>1778</v>
      </c>
      <c r="F32" s="43"/>
      <c r="G32" s="126"/>
      <c r="H32" s="135">
        <f>SUM(H29:H31)</f>
        <v>1278</v>
      </c>
      <c r="I32" s="43"/>
      <c r="J32" s="126"/>
      <c r="K32" s="135">
        <f>SUM(K29:K31)</f>
        <v>964</v>
      </c>
    </row>
    <row r="33" ht="15.75" customHeight="1">
      <c r="A33" s="121" t="s">
        <v>80</v>
      </c>
      <c r="B33" s="124">
        <f>SUMIFS('GASTOS DETALHADOS'!$C:$C,'GASTOS DETALHADOS'!$E:$E,A$1,'GASTOS DETALHADOS'!$F:$F,A33)</f>
        <v>822.3</v>
      </c>
      <c r="C33" s="43"/>
      <c r="D33" s="121" t="s">
        <v>80</v>
      </c>
      <c r="E33" s="124">
        <f>SUMIFS('GASTOS DETALHADOS'!$C:$C,'GASTOS DETALHADOS'!$E:$E,D$1,'GASTOS DETALHADOS'!$F:$F,D33)</f>
        <v>0</v>
      </c>
      <c r="F33" s="43"/>
      <c r="G33" s="121" t="s">
        <v>80</v>
      </c>
      <c r="H33" s="124">
        <f>SUMIFS('GASTOS DETALHADOS'!$C:$C,'GASTOS DETALHADOS'!$E:$E,G$1,'GASTOS DETALHADOS'!$F:$F,G33)</f>
        <v>0</v>
      </c>
      <c r="I33" s="43"/>
      <c r="J33" s="121" t="s">
        <v>80</v>
      </c>
      <c r="K33" s="124">
        <f>SUMIFS('GASTOS DETALHADOS'!$C:$C,'GASTOS DETALHADOS'!$E:$E,J$1,'GASTOS DETALHADOS'!$F:$F,J33)</f>
        <v>20.95</v>
      </c>
    </row>
    <row r="34" ht="15.75" customHeight="1">
      <c r="A34" s="123" t="s">
        <v>81</v>
      </c>
      <c r="B34" s="124">
        <f>SUMIFS('GASTOS DETALHADOS'!$C:$C,'GASTOS DETALHADOS'!$E:$E,A$1,'GASTOS DETALHADOS'!$F:$F,A34)</f>
        <v>0</v>
      </c>
      <c r="C34" s="43"/>
      <c r="D34" s="123" t="s">
        <v>81</v>
      </c>
      <c r="E34" s="124">
        <f>SUMIFS('GASTOS DETALHADOS'!$C:$C,'GASTOS DETALHADOS'!$E:$E,D$1,'GASTOS DETALHADOS'!$F:$F,D34)</f>
        <v>0</v>
      </c>
      <c r="F34" s="43"/>
      <c r="G34" s="123" t="s">
        <v>81</v>
      </c>
      <c r="H34" s="124">
        <f>SUMIFS('GASTOS DETALHADOS'!$C:$C,'GASTOS DETALHADOS'!$E:$E,G$1,'GASTOS DETALHADOS'!$F:$F,G34)</f>
        <v>0</v>
      </c>
      <c r="I34" s="43"/>
      <c r="J34" s="123" t="s">
        <v>81</v>
      </c>
      <c r="K34" s="124">
        <f>SUMIFS('GASTOS DETALHADOS'!$C:$C,'GASTOS DETALHADOS'!$E:$E,J$1,'GASTOS DETALHADOS'!$F:$F,J34)</f>
        <v>0</v>
      </c>
    </row>
    <row r="35" ht="15.75" customHeight="1">
      <c r="A35" s="132" t="s">
        <v>82</v>
      </c>
      <c r="B35" s="124">
        <f>SUMIFS('GASTOS DETALHADOS'!$C:$C,'GASTOS DETALHADOS'!$E:$E,A$1,'GASTOS DETALHADOS'!$F:$F,A35)</f>
        <v>0</v>
      </c>
      <c r="C35" s="43"/>
      <c r="D35" s="132" t="s">
        <v>82</v>
      </c>
      <c r="E35" s="124">
        <f>SUMIFS('GASTOS DETALHADOS'!$C:$C,'GASTOS DETALHADOS'!$E:$E,D$1,'GASTOS DETALHADOS'!$F:$F,D35)</f>
        <v>0</v>
      </c>
      <c r="F35" s="43"/>
      <c r="G35" s="132" t="s">
        <v>82</v>
      </c>
      <c r="H35" s="124">
        <f>SUMIFS('GASTOS DETALHADOS'!$C:$C,'GASTOS DETALHADOS'!$E:$E,G$1,'GASTOS DETALHADOS'!$F:$F,G35)</f>
        <v>0</v>
      </c>
      <c r="I35" s="43"/>
      <c r="J35" s="132" t="s">
        <v>82</v>
      </c>
      <c r="K35" s="124">
        <f>SUMIFS('GASTOS DETALHADOS'!$C:$C,'GASTOS DETALHADOS'!$E:$E,J$1,'GASTOS DETALHADOS'!$F:$F,J35)</f>
        <v>0</v>
      </c>
    </row>
    <row r="36" ht="15.75" customHeight="1">
      <c r="A36" s="126"/>
      <c r="B36" s="127">
        <f>SUM(B34)</f>
        <v>0</v>
      </c>
      <c r="C36" s="43"/>
      <c r="D36" s="126"/>
      <c r="E36" s="127">
        <f>SUM(E34)</f>
        <v>0</v>
      </c>
      <c r="F36" s="43"/>
      <c r="G36" s="126"/>
      <c r="H36" s="127">
        <f>SUM(H34)</f>
        <v>0</v>
      </c>
      <c r="I36" s="43"/>
      <c r="J36" s="126"/>
      <c r="K36" s="127">
        <f>SUM(K34)</f>
        <v>0</v>
      </c>
    </row>
    <row r="37" ht="15.75" customHeight="1">
      <c r="A37" s="123" t="s">
        <v>83</v>
      </c>
      <c r="B37" s="128"/>
      <c r="C37" s="43"/>
      <c r="D37" s="123" t="s">
        <v>83</v>
      </c>
      <c r="E37" s="124">
        <f>SUMIFS('GASTOS DETALHADOS'!$C:$C,'GASTOS DETALHADOS'!$E:$E,D$1,'GASTOS DETALHADOS'!$F:$F,D37)</f>
        <v>0</v>
      </c>
      <c r="F37" s="43"/>
      <c r="G37" s="123" t="s">
        <v>83</v>
      </c>
      <c r="H37" s="124">
        <f>SUMIFS('GASTOS DETALHADOS'!$C:$C,'GASTOS DETALHADOS'!$E:$E,G$1,'GASTOS DETALHADOS'!$F:$F,G37)</f>
        <v>0</v>
      </c>
      <c r="I37" s="43"/>
      <c r="J37" s="123" t="s">
        <v>83</v>
      </c>
      <c r="K37" s="124">
        <f>SUMIFS('GASTOS DETALHADOS'!$C:$C,'GASTOS DETALHADOS'!$E:$E,J$1,'GASTOS DETALHADOS'!$F:$F,J37)</f>
        <v>0</v>
      </c>
    </row>
    <row r="38" ht="15.75" customHeight="1">
      <c r="A38" s="123" t="s">
        <v>84</v>
      </c>
      <c r="B38" s="124">
        <f>SUMIFS('GASTOS DETALHADOS'!$C:$C,'GASTOS DETALHADOS'!$E:$E,A$1,'GASTOS DETALHADOS'!$F:$F,A38)</f>
        <v>0</v>
      </c>
      <c r="C38" s="43"/>
      <c r="D38" s="123" t="s">
        <v>84</v>
      </c>
      <c r="E38" s="124">
        <f>SUMIFS('GASTOS DETALHADOS'!$C:$C,'GASTOS DETALHADOS'!$E:$E,D$1,'GASTOS DETALHADOS'!$F:$F,D38)</f>
        <v>52.8</v>
      </c>
      <c r="F38" s="43"/>
      <c r="G38" s="123" t="s">
        <v>84</v>
      </c>
      <c r="H38" s="124">
        <f>SUMIFS('GASTOS DETALHADOS'!$C:$C,'GASTOS DETALHADOS'!$E:$E,G$1,'GASTOS DETALHADOS'!$F:$F,G38)</f>
        <v>47.8</v>
      </c>
      <c r="I38" s="43"/>
      <c r="J38" s="123" t="s">
        <v>84</v>
      </c>
      <c r="K38" s="124">
        <f>SUMIFS('GASTOS DETALHADOS'!$C:$C,'GASTOS DETALHADOS'!$E:$E,J$1,'GASTOS DETALHADOS'!$F:$F,J38)</f>
        <v>0</v>
      </c>
    </row>
    <row r="39" ht="15.75" customHeight="1">
      <c r="A39" s="126"/>
      <c r="B39" s="127">
        <f>B38</f>
        <v>0</v>
      </c>
      <c r="C39" s="43"/>
      <c r="D39" s="126"/>
      <c r="E39" s="127">
        <f>E38</f>
        <v>52.8</v>
      </c>
      <c r="F39" s="43"/>
      <c r="G39" s="126"/>
      <c r="H39" s="127">
        <f>H38</f>
        <v>47.8</v>
      </c>
      <c r="I39" s="43"/>
      <c r="J39" s="126"/>
      <c r="K39" s="127">
        <f>K38</f>
        <v>0</v>
      </c>
    </row>
    <row r="40" ht="15.75" customHeight="1">
      <c r="A40" s="123" t="s">
        <v>85</v>
      </c>
      <c r="B40" s="128"/>
      <c r="C40" s="43"/>
      <c r="D40" s="123" t="s">
        <v>85</v>
      </c>
      <c r="E40" s="124">
        <f>SUMIFS('GASTOS DETALHADOS'!$C:$C,'GASTOS DETALHADOS'!$E:$E,D$1,'GASTOS DETALHADOS'!$F:$F,D40)</f>
        <v>0</v>
      </c>
      <c r="F40" s="43"/>
      <c r="G40" s="123" t="s">
        <v>85</v>
      </c>
      <c r="H40" s="124">
        <f>SUMIFS('GASTOS DETALHADOS'!$C:$C,'GASTOS DETALHADOS'!$E:$E,G$1,'GASTOS DETALHADOS'!$F:$F,G40)</f>
        <v>0</v>
      </c>
      <c r="I40" s="43"/>
      <c r="J40" s="123" t="s">
        <v>85</v>
      </c>
      <c r="K40" s="124">
        <f>SUMIFS('GASTOS DETALHADOS'!$C:$C,'GASTOS DETALHADOS'!$E:$E,J$1,'GASTOS DETALHADOS'!$F:$F,J40)</f>
        <v>0</v>
      </c>
    </row>
    <row r="41" ht="15.75" customHeight="1">
      <c r="A41" s="123" t="s">
        <v>86</v>
      </c>
      <c r="B41" s="124">
        <f>SUMIFS('GASTOS DETALHADOS'!$C:$C,'GASTOS DETALHADOS'!$E:$E,A$1,'GASTOS DETALHADOS'!$F:$F,A41)</f>
        <v>552.5</v>
      </c>
      <c r="C41" s="43"/>
      <c r="D41" s="123" t="s">
        <v>86</v>
      </c>
      <c r="E41" s="124">
        <f>SUMIFS('GASTOS DETALHADOS'!$C:$C,'GASTOS DETALHADOS'!$E:$E,D$1,'GASTOS DETALHADOS'!$F:$F,D41)</f>
        <v>0</v>
      </c>
      <c r="F41" s="43"/>
      <c r="G41" s="123" t="s">
        <v>86</v>
      </c>
      <c r="H41" s="124">
        <f>SUMIFS('GASTOS DETALHADOS'!$C:$C,'GASTOS DETALHADOS'!$E:$E,G$1,'GASTOS DETALHADOS'!$F:$F,G41)</f>
        <v>0</v>
      </c>
      <c r="I41" s="43"/>
      <c r="J41" s="123" t="s">
        <v>86</v>
      </c>
      <c r="K41" s="124">
        <f>SUMIFS('GASTOS DETALHADOS'!$C:$C,'GASTOS DETALHADOS'!$E:$E,J$1,'GASTOS DETALHADOS'!$F:$F,J41)</f>
        <v>0</v>
      </c>
    </row>
    <row r="42" ht="15.75" customHeight="1">
      <c r="A42" s="132" t="s">
        <v>87</v>
      </c>
      <c r="B42" s="124">
        <f>SUMIFS('GASTOS DETALHADOS'!$C:$C,'GASTOS DETALHADOS'!$E:$E,A$1,'GASTOS DETALHADOS'!$F:$F,A42)</f>
        <v>0</v>
      </c>
      <c r="C42" s="43"/>
      <c r="D42" s="132" t="s">
        <v>87</v>
      </c>
      <c r="E42" s="124">
        <f>SUMIFS('GASTOS DETALHADOS'!$C:$C,'GASTOS DETALHADOS'!$E:$E,D$1,'GASTOS DETALHADOS'!$F:$F,D42)</f>
        <v>0</v>
      </c>
      <c r="F42" s="43"/>
      <c r="G42" s="132" t="s">
        <v>87</v>
      </c>
      <c r="H42" s="124">
        <f>SUMIFS('GASTOS DETALHADOS'!$C:$C,'GASTOS DETALHADOS'!$E:$E,G$1,'GASTOS DETALHADOS'!$F:$F,G42)</f>
        <v>0</v>
      </c>
      <c r="I42" s="43"/>
      <c r="J42" s="132" t="s">
        <v>87</v>
      </c>
      <c r="K42" s="124">
        <f>SUMIFS('GASTOS DETALHADOS'!$C:$C,'GASTOS DETALHADOS'!$E:$E,J$1,'GASTOS DETALHADOS'!$F:$F,J42)</f>
        <v>0</v>
      </c>
    </row>
    <row r="43" ht="15.75" customHeight="1">
      <c r="A43" s="132" t="s">
        <v>88</v>
      </c>
      <c r="B43" s="124">
        <f>SUMIFS('GASTOS DETALHADOS'!$C:$C,'GASTOS DETALHADOS'!$E:$E,A$1,'GASTOS DETALHADOS'!$F:$F,A43)</f>
        <v>0</v>
      </c>
      <c r="C43" s="43"/>
      <c r="D43" s="132" t="s">
        <v>88</v>
      </c>
      <c r="E43" s="124">
        <f>SUMIFS('GASTOS DETALHADOS'!$C:$C,'GASTOS DETALHADOS'!$E:$E,D$1,'GASTOS DETALHADOS'!$F:$F,D43)</f>
        <v>0</v>
      </c>
      <c r="F43" s="43"/>
      <c r="G43" s="132" t="s">
        <v>88</v>
      </c>
      <c r="H43" s="124">
        <f>SUMIFS('GASTOS DETALHADOS'!$C:$C,'GASTOS DETALHADOS'!$E:$E,G$1,'GASTOS DETALHADOS'!$F:$F,G43)</f>
        <v>0</v>
      </c>
      <c r="I43" s="43"/>
      <c r="J43" s="132" t="s">
        <v>88</v>
      </c>
      <c r="K43" s="124">
        <f>SUMIFS('GASTOS DETALHADOS'!$C:$C,'GASTOS DETALHADOS'!$E:$E,J$1,'GASTOS DETALHADOS'!$F:$F,J43)</f>
        <v>990</v>
      </c>
    </row>
    <row r="44" ht="15.75" customHeight="1">
      <c r="A44" s="126"/>
      <c r="B44" s="127">
        <f>SUM(B41:B43)</f>
        <v>552.5</v>
      </c>
      <c r="C44" s="43"/>
      <c r="D44" s="126"/>
      <c r="E44" s="127">
        <f>SUM(E41:E43)</f>
        <v>0</v>
      </c>
      <c r="F44" s="43"/>
      <c r="G44" s="126"/>
      <c r="H44" s="127">
        <f>SUM(H41:H43)</f>
        <v>0</v>
      </c>
      <c r="I44" s="43"/>
      <c r="J44" s="126"/>
      <c r="K44" s="127">
        <f>SUM(K41:K43)</f>
        <v>990</v>
      </c>
    </row>
    <row r="45" ht="15.75" customHeight="1">
      <c r="A45" s="121" t="s">
        <v>89</v>
      </c>
      <c r="B45" s="124">
        <f>SUMIFS('GASTOS DETALHADOS'!$C:$C,'GASTOS DETALHADOS'!$E:$E,A$1,'GASTOS DETALHADOS'!$F:$F,A45)</f>
        <v>4396.89</v>
      </c>
      <c r="C45" s="43"/>
      <c r="D45" s="121" t="s">
        <v>89</v>
      </c>
      <c r="E45" s="124">
        <f>SUMIFS('GASTOS DETALHADOS'!$C:$C,'GASTOS DETALHADOS'!$E:$E,D$1,'GASTOS DETALHADOS'!$F:$F,D45)</f>
        <v>4194.74</v>
      </c>
      <c r="F45" s="43"/>
      <c r="G45" s="121" t="s">
        <v>89</v>
      </c>
      <c r="H45" s="124">
        <f>SUMIFS('GASTOS DETALHADOS'!$C:$C,'GASTOS DETALHADOS'!$E:$E,G$1,'GASTOS DETALHADOS'!$F:$F,G45)</f>
        <v>3522.74</v>
      </c>
      <c r="I45" s="43"/>
      <c r="J45" s="121" t="s">
        <v>89</v>
      </c>
      <c r="K45" s="124">
        <f>SUMIFS('GASTOS DETALHADOS'!$C:$C,'GASTOS DETALHADOS'!$E:$E,J$1,'GASTOS DETALHADOS'!$F:$F,J45)</f>
        <v>2216.82</v>
      </c>
    </row>
    <row r="46" ht="15.75" customHeight="1">
      <c r="A46" s="136" t="s">
        <v>90</v>
      </c>
      <c r="B46" s="124">
        <f>SUMIFS('GASTOS DETALHADOS'!$C:$C,'GASTOS DETALHADOS'!$E:$E,A$1,'GASTOS DETALHADOS'!$F:$F,A46)</f>
        <v>0</v>
      </c>
      <c r="C46" s="43"/>
      <c r="D46" s="136" t="s">
        <v>90</v>
      </c>
      <c r="E46" s="124">
        <f>SUMIFS('GASTOS DETALHADOS'!$C:$C,'GASTOS DETALHADOS'!$E:$E,D$1,'GASTOS DETALHADOS'!$F:$F,D46)</f>
        <v>0</v>
      </c>
      <c r="F46" s="43"/>
      <c r="G46" s="136" t="s">
        <v>90</v>
      </c>
      <c r="H46" s="124">
        <f>SUMIFS('GASTOS DETALHADOS'!$C:$C,'GASTOS DETALHADOS'!$E:$E,G$1,'GASTOS DETALHADOS'!$F:$F,G46)</f>
        <v>0</v>
      </c>
      <c r="I46" s="43"/>
      <c r="J46" s="136" t="s">
        <v>90</v>
      </c>
      <c r="K46" s="124">
        <f>SUMIFS('GASTOS DETALHADOS'!$C:$C,'GASTOS DETALHADOS'!$E:$E,J$1,'GASTOS DETALHADOS'!$F:$F,J46)</f>
        <v>0</v>
      </c>
    </row>
    <row r="47" ht="15.75" customHeight="1">
      <c r="A47" s="126"/>
      <c r="B47" s="135">
        <f>SUM(B45:B46)</f>
        <v>4396.89</v>
      </c>
      <c r="C47" s="43"/>
      <c r="D47" s="126"/>
      <c r="E47" s="135">
        <f>SUM(E45:E46)</f>
        <v>4194.74</v>
      </c>
      <c r="F47" s="43"/>
      <c r="G47" s="126"/>
      <c r="H47" s="135">
        <f>SUM(H45:H46)</f>
        <v>3522.74</v>
      </c>
      <c r="I47" s="43"/>
      <c r="J47" s="126"/>
      <c r="K47" s="135">
        <f>SUM(K45:K46)</f>
        <v>2216.82</v>
      </c>
    </row>
    <row r="48" ht="15.75" customHeight="1">
      <c r="A48" s="137" t="s">
        <v>91</v>
      </c>
      <c r="B48" s="138"/>
      <c r="C48" s="43"/>
      <c r="D48" s="137" t="s">
        <v>91</v>
      </c>
      <c r="E48" s="138"/>
      <c r="F48" s="43"/>
      <c r="G48" s="137" t="s">
        <v>91</v>
      </c>
      <c r="H48" s="138"/>
      <c r="I48" s="43"/>
      <c r="J48" s="137" t="s">
        <v>91</v>
      </c>
      <c r="K48" s="138"/>
    </row>
    <row r="49" ht="15.75" customHeight="1">
      <c r="A49" s="137" t="s">
        <v>92</v>
      </c>
      <c r="B49" s="139">
        <f>SUM(B67,B50,B83)</f>
        <v>7313.9236</v>
      </c>
      <c r="C49" s="140"/>
      <c r="D49" s="137" t="s">
        <v>93</v>
      </c>
      <c r="E49" s="139">
        <f>SUM(E67,E50,E83)</f>
        <v>4389.5272</v>
      </c>
      <c r="F49" s="140"/>
      <c r="G49" s="137" t="s">
        <v>93</v>
      </c>
      <c r="H49" s="139">
        <f>SUM(H67,H50,H83)</f>
        <v>3292.1454</v>
      </c>
      <c r="I49" s="140"/>
      <c r="J49" s="137" t="s">
        <v>93</v>
      </c>
      <c r="K49" s="139">
        <f>SUM(K67,K50,K83)</f>
        <v>1097.3818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15.75" hidden="1" customHeight="1" outlineLevel="1">
      <c r="A50" s="121" t="s">
        <v>94</v>
      </c>
      <c r="B50" s="124">
        <f>SUM($E$66)*0.2</f>
        <v>1370.9316</v>
      </c>
      <c r="C50" s="43"/>
      <c r="D50" s="121" t="s">
        <v>95</v>
      </c>
      <c r="E50" s="142">
        <f>SUM($E$66)*0.4</f>
        <v>2741.8632</v>
      </c>
      <c r="F50" s="43"/>
      <c r="G50" s="121" t="s">
        <v>96</v>
      </c>
      <c r="H50" s="124">
        <f>E66*0.3</f>
        <v>2056.3974</v>
      </c>
      <c r="I50" s="43"/>
      <c r="J50" s="121" t="s">
        <v>97</v>
      </c>
      <c r="K50" s="124">
        <f>E66*0.1</f>
        <v>685.4658</v>
      </c>
    </row>
    <row r="51" ht="15.75" hidden="1" customHeight="1" outlineLevel="2">
      <c r="A51" s="143" t="s">
        <v>98</v>
      </c>
      <c r="B51" s="144"/>
      <c r="C51" s="43"/>
      <c r="D51" s="145" t="s">
        <v>99</v>
      </c>
      <c r="E51" s="146">
        <v>3510.05</v>
      </c>
      <c r="F51" s="43"/>
      <c r="G51" s="143" t="s">
        <v>100</v>
      </c>
      <c r="H51" s="144"/>
      <c r="I51" s="43"/>
      <c r="J51" s="143" t="s">
        <v>101</v>
      </c>
      <c r="K51" s="144"/>
    </row>
    <row r="52" ht="15.75" hidden="1" customHeight="1" outlineLevel="2">
      <c r="A52" s="143"/>
      <c r="B52" s="144"/>
      <c r="C52" s="43"/>
      <c r="D52" s="145" t="s">
        <v>102</v>
      </c>
      <c r="E52" s="146">
        <v>393.12</v>
      </c>
      <c r="F52" s="43"/>
      <c r="G52" s="143"/>
      <c r="H52" s="144"/>
      <c r="I52" s="43"/>
      <c r="J52" s="143"/>
      <c r="K52" s="144"/>
    </row>
    <row r="53" ht="15.75" hidden="1" customHeight="1" outlineLevel="2">
      <c r="A53" s="143"/>
      <c r="B53" s="144"/>
      <c r="C53" s="43"/>
      <c r="D53" s="145" t="s">
        <v>103</v>
      </c>
      <c r="E53" s="146">
        <f>40%*E52</f>
        <v>157.248</v>
      </c>
      <c r="F53" s="43"/>
      <c r="G53" s="143"/>
      <c r="H53" s="144"/>
      <c r="I53" s="43"/>
      <c r="J53" s="143"/>
      <c r="K53" s="144"/>
    </row>
    <row r="54" ht="15.75" hidden="1" customHeight="1" outlineLevel="2">
      <c r="A54" s="143"/>
      <c r="B54" s="144"/>
      <c r="C54" s="43"/>
      <c r="D54" s="145" t="s">
        <v>104</v>
      </c>
      <c r="E54" s="146">
        <v>31.2</v>
      </c>
      <c r="F54" s="43"/>
      <c r="G54" s="143"/>
      <c r="H54" s="144"/>
      <c r="I54" s="43"/>
      <c r="J54" s="143"/>
      <c r="K54" s="144"/>
    </row>
    <row r="55" ht="15.75" hidden="1" customHeight="1" outlineLevel="2">
      <c r="A55" s="143"/>
      <c r="B55" s="144"/>
      <c r="C55" s="43"/>
      <c r="D55" s="145" t="s">
        <v>105</v>
      </c>
      <c r="E55" s="146">
        <v>0.0</v>
      </c>
      <c r="F55" s="43"/>
      <c r="G55" s="143"/>
      <c r="H55" s="144"/>
      <c r="I55" s="43"/>
      <c r="J55" s="143"/>
      <c r="K55" s="144"/>
    </row>
    <row r="56" ht="15.75" hidden="1" customHeight="1" outlineLevel="2">
      <c r="A56" s="143"/>
      <c r="B56" s="144"/>
      <c r="C56" s="43"/>
      <c r="D56" s="145" t="s">
        <v>106</v>
      </c>
      <c r="E56" s="146">
        <v>489.47</v>
      </c>
      <c r="F56" s="43"/>
      <c r="G56" s="143"/>
      <c r="H56" s="144"/>
      <c r="I56" s="43"/>
      <c r="J56" s="143"/>
      <c r="K56" s="144"/>
    </row>
    <row r="57" ht="15.75" hidden="1" customHeight="1" outlineLevel="2">
      <c r="A57" s="143"/>
      <c r="B57" s="144"/>
      <c r="C57" s="43"/>
      <c r="D57" s="145" t="s">
        <v>107</v>
      </c>
      <c r="E57" s="146">
        <v>78.0</v>
      </c>
      <c r="F57" s="43"/>
      <c r="G57" s="143"/>
      <c r="H57" s="144"/>
      <c r="I57" s="43"/>
      <c r="J57" s="143"/>
      <c r="K57" s="144"/>
    </row>
    <row r="58" ht="15.75" hidden="1" customHeight="1" outlineLevel="2">
      <c r="A58" s="143"/>
      <c r="B58" s="144"/>
      <c r="C58" s="43"/>
      <c r="D58" s="145" t="s">
        <v>108</v>
      </c>
      <c r="E58" s="146">
        <v>292.5</v>
      </c>
      <c r="F58" s="43"/>
      <c r="G58" s="143"/>
      <c r="H58" s="144"/>
      <c r="I58" s="43"/>
      <c r="J58" s="143"/>
      <c r="K58" s="144"/>
    </row>
    <row r="59" ht="15.75" hidden="1" customHeight="1" outlineLevel="2">
      <c r="A59" s="143"/>
      <c r="B59" s="144"/>
      <c r="C59" s="43"/>
      <c r="D59" s="145" t="s">
        <v>109</v>
      </c>
      <c r="E59" s="146">
        <v>97.5</v>
      </c>
      <c r="F59" s="43"/>
      <c r="G59" s="143"/>
      <c r="H59" s="144"/>
      <c r="I59" s="43"/>
      <c r="J59" s="143"/>
      <c r="K59" s="144"/>
    </row>
    <row r="60" ht="15.75" hidden="1" customHeight="1" outlineLevel="2">
      <c r="A60" s="143"/>
      <c r="B60" s="144"/>
      <c r="C60" s="43"/>
      <c r="D60" s="145" t="s">
        <v>110</v>
      </c>
      <c r="E60" s="146">
        <v>0.0</v>
      </c>
      <c r="F60" s="43"/>
      <c r="G60" s="143"/>
      <c r="H60" s="144"/>
      <c r="I60" s="43"/>
      <c r="J60" s="143"/>
      <c r="K60" s="144"/>
    </row>
    <row r="61" ht="15.75" hidden="1" customHeight="1" outlineLevel="2">
      <c r="A61" s="143"/>
      <c r="B61" s="144"/>
      <c r="C61" s="43"/>
      <c r="D61" s="145" t="s">
        <v>111</v>
      </c>
      <c r="E61" s="146">
        <f>SUM(E51*0.4)</f>
        <v>1404.02</v>
      </c>
      <c r="F61" s="43"/>
      <c r="G61" s="143"/>
      <c r="H61" s="144"/>
      <c r="I61" s="43"/>
      <c r="J61" s="143"/>
      <c r="K61" s="144"/>
    </row>
    <row r="62" ht="15.75" hidden="1" customHeight="1" outlineLevel="2">
      <c r="A62" s="143"/>
      <c r="B62" s="147"/>
      <c r="C62" s="43"/>
      <c r="D62" s="145" t="s">
        <v>112</v>
      </c>
      <c r="E62" s="146">
        <v>0.0</v>
      </c>
      <c r="F62" s="43"/>
      <c r="G62" s="143"/>
      <c r="H62" s="147"/>
      <c r="I62" s="43"/>
      <c r="J62" s="143"/>
      <c r="K62" s="147"/>
    </row>
    <row r="63" ht="15.75" hidden="1" customHeight="1" outlineLevel="2">
      <c r="A63" s="143"/>
      <c r="B63" s="144"/>
      <c r="C63" s="43"/>
      <c r="D63" s="145" t="s">
        <v>113</v>
      </c>
      <c r="E63" s="146">
        <v>264.0</v>
      </c>
      <c r="F63" s="43"/>
      <c r="G63" s="143"/>
      <c r="H63" s="144"/>
      <c r="I63" s="43"/>
      <c r="J63" s="143"/>
      <c r="K63" s="144"/>
    </row>
    <row r="64" ht="15.75" hidden="1" customHeight="1" outlineLevel="2">
      <c r="A64" s="143"/>
      <c r="B64" s="144"/>
      <c r="C64" s="43"/>
      <c r="D64" s="145" t="s">
        <v>114</v>
      </c>
      <c r="E64" s="146">
        <v>145.0</v>
      </c>
      <c r="F64" s="43"/>
      <c r="G64" s="143"/>
      <c r="H64" s="144"/>
      <c r="I64" s="43"/>
      <c r="J64" s="143"/>
      <c r="K64" s="144"/>
    </row>
    <row r="65" ht="15.75" hidden="1" customHeight="1" outlineLevel="2">
      <c r="A65" s="143"/>
      <c r="B65" s="144"/>
      <c r="C65" s="43"/>
      <c r="D65" s="145" t="s">
        <v>115</v>
      </c>
      <c r="E65" s="146">
        <v>482.02</v>
      </c>
      <c r="F65" s="43"/>
      <c r="G65" s="143"/>
      <c r="H65" s="144"/>
      <c r="I65" s="43"/>
      <c r="J65" s="143"/>
      <c r="K65" s="144"/>
    </row>
    <row r="66" ht="15.75" hidden="1" customHeight="1" outlineLevel="2">
      <c r="A66" s="123"/>
      <c r="B66" s="148"/>
      <c r="C66" s="43"/>
      <c r="D66" s="121" t="s">
        <v>9</v>
      </c>
      <c r="E66" s="128">
        <f>SUM(E51,E53,E54,E52,E57,E58,E59,E61,E63,E64,E65)</f>
        <v>6854.658</v>
      </c>
      <c r="F66" s="43"/>
      <c r="G66" s="123"/>
      <c r="H66" s="138"/>
      <c r="I66" s="43"/>
      <c r="J66" s="123"/>
      <c r="K66" s="138"/>
    </row>
    <row r="67" ht="15.75" hidden="1" customHeight="1" outlineLevel="1">
      <c r="A67" s="121" t="s">
        <v>116</v>
      </c>
      <c r="B67" s="124">
        <f>SUM(B68,B70,B71,B74,B69,B75,B76,B77,B78,B80,B81,B82,B79)</f>
        <v>5119.16</v>
      </c>
      <c r="C67" s="43"/>
      <c r="D67" s="149"/>
      <c r="E67" s="149"/>
      <c r="F67" s="43"/>
      <c r="G67" s="121"/>
      <c r="H67" s="150"/>
      <c r="I67" s="43"/>
      <c r="J67" s="121"/>
      <c r="K67" s="150"/>
    </row>
    <row r="68" ht="15.75" hidden="1" customHeight="1" outlineLevel="2">
      <c r="A68" s="143" t="s">
        <v>99</v>
      </c>
      <c r="B68" s="144">
        <v>1900.0</v>
      </c>
      <c r="C68" s="43"/>
      <c r="D68" s="145"/>
      <c r="E68" s="146"/>
      <c r="F68" s="43"/>
      <c r="G68" s="143" t="s">
        <v>99</v>
      </c>
      <c r="H68" s="144">
        <v>3510.05</v>
      </c>
      <c r="I68" s="43"/>
      <c r="J68" s="143" t="s">
        <v>99</v>
      </c>
      <c r="K68" s="144">
        <v>3510.05</v>
      </c>
    </row>
    <row r="69" ht="15.75" hidden="1" customHeight="1" outlineLevel="2">
      <c r="A69" s="143" t="s">
        <v>102</v>
      </c>
      <c r="B69" s="144">
        <v>212.8</v>
      </c>
      <c r="C69" s="43"/>
      <c r="D69" s="145"/>
      <c r="E69" s="146"/>
      <c r="F69" s="43"/>
      <c r="G69" s="143" t="s">
        <v>102</v>
      </c>
      <c r="H69" s="144">
        <v>280.8</v>
      </c>
      <c r="I69" s="43"/>
      <c r="J69" s="143" t="s">
        <v>102</v>
      </c>
      <c r="K69" s="144">
        <v>280.8</v>
      </c>
    </row>
    <row r="70" ht="15.75" hidden="1" customHeight="1" outlineLevel="2">
      <c r="A70" s="143" t="s">
        <v>103</v>
      </c>
      <c r="B70" s="144">
        <f>40%*B69</f>
        <v>85.12</v>
      </c>
      <c r="C70" s="43"/>
      <c r="D70" s="145"/>
      <c r="E70" s="146"/>
      <c r="F70" s="43"/>
      <c r="G70" s="143" t="s">
        <v>103</v>
      </c>
      <c r="H70" s="144">
        <f>40%*H69</f>
        <v>112.32</v>
      </c>
      <c r="I70" s="43"/>
      <c r="J70" s="143" t="s">
        <v>103</v>
      </c>
      <c r="K70" s="144">
        <f>40%*K69</f>
        <v>112.32</v>
      </c>
    </row>
    <row r="71" ht="15.75" hidden="1" customHeight="1" outlineLevel="2">
      <c r="A71" s="143" t="s">
        <v>104</v>
      </c>
      <c r="B71" s="144">
        <v>16.89</v>
      </c>
      <c r="C71" s="43"/>
      <c r="D71" s="145"/>
      <c r="E71" s="146"/>
      <c r="F71" s="43"/>
      <c r="G71" s="143" t="s">
        <v>104</v>
      </c>
      <c r="H71" s="144">
        <v>31.2</v>
      </c>
      <c r="I71" s="43"/>
      <c r="J71" s="143" t="s">
        <v>104</v>
      </c>
      <c r="K71" s="144">
        <v>31.2</v>
      </c>
    </row>
    <row r="72" ht="15.75" hidden="1" customHeight="1" outlineLevel="2">
      <c r="A72" s="143" t="s">
        <v>105</v>
      </c>
      <c r="B72" s="144">
        <v>0.0</v>
      </c>
      <c r="C72" s="43"/>
      <c r="D72" s="145"/>
      <c r="E72" s="146"/>
      <c r="F72" s="43"/>
      <c r="G72" s="143" t="s">
        <v>105</v>
      </c>
      <c r="H72" s="144">
        <v>275.57</v>
      </c>
      <c r="I72" s="43"/>
      <c r="J72" s="143" t="s">
        <v>105</v>
      </c>
      <c r="K72" s="144">
        <v>275.57</v>
      </c>
    </row>
    <row r="73" ht="15.75" hidden="1" customHeight="1" outlineLevel="2">
      <c r="A73" s="143" t="s">
        <v>106</v>
      </c>
      <c r="B73" s="144">
        <v>215.08</v>
      </c>
      <c r="C73" s="43"/>
      <c r="D73" s="145"/>
      <c r="E73" s="146"/>
      <c r="F73" s="43"/>
      <c r="G73" s="143" t="s">
        <v>106</v>
      </c>
      <c r="H73" s="144">
        <v>497.55</v>
      </c>
      <c r="I73" s="43"/>
      <c r="J73" s="143" t="s">
        <v>106</v>
      </c>
      <c r="K73" s="144">
        <v>497.55</v>
      </c>
    </row>
    <row r="74" ht="15.75" hidden="1" customHeight="1" outlineLevel="2">
      <c r="A74" s="143" t="s">
        <v>107</v>
      </c>
      <c r="B74" s="144">
        <v>42.22</v>
      </c>
      <c r="C74" s="43"/>
      <c r="D74" s="145"/>
      <c r="E74" s="146"/>
      <c r="F74" s="43"/>
      <c r="G74" s="143" t="s">
        <v>107</v>
      </c>
      <c r="H74" s="144">
        <v>78.0</v>
      </c>
      <c r="I74" s="43"/>
      <c r="J74" s="143" t="s">
        <v>107</v>
      </c>
      <c r="K74" s="144">
        <v>78.0</v>
      </c>
    </row>
    <row r="75" ht="15.75" hidden="1" customHeight="1" outlineLevel="2">
      <c r="A75" s="143" t="s">
        <v>108</v>
      </c>
      <c r="B75" s="144">
        <v>158.33</v>
      </c>
      <c r="C75" s="43"/>
      <c r="D75" s="145"/>
      <c r="E75" s="146"/>
      <c r="F75" s="43"/>
      <c r="G75" s="143" t="s">
        <v>108</v>
      </c>
      <c r="H75" s="144">
        <v>292.5</v>
      </c>
      <c r="I75" s="43"/>
      <c r="J75" s="143" t="s">
        <v>108</v>
      </c>
      <c r="K75" s="144">
        <v>292.5</v>
      </c>
    </row>
    <row r="76" ht="15.75" hidden="1" customHeight="1" outlineLevel="2">
      <c r="A76" s="143" t="s">
        <v>109</v>
      </c>
      <c r="B76" s="144">
        <v>52.78</v>
      </c>
      <c r="C76" s="43"/>
      <c r="D76" s="145"/>
      <c r="E76" s="146"/>
      <c r="F76" s="43"/>
      <c r="G76" s="143" t="s">
        <v>109</v>
      </c>
      <c r="H76" s="144">
        <v>97.5</v>
      </c>
      <c r="I76" s="43"/>
      <c r="J76" s="143" t="s">
        <v>109</v>
      </c>
      <c r="K76" s="144">
        <v>97.5</v>
      </c>
    </row>
    <row r="77" ht="15.75" hidden="1" customHeight="1" outlineLevel="2">
      <c r="A77" s="143" t="s">
        <v>110</v>
      </c>
      <c r="B77" s="144">
        <v>0.0</v>
      </c>
      <c r="C77" s="43"/>
      <c r="D77" s="145"/>
      <c r="E77" s="146"/>
      <c r="F77" s="43"/>
      <c r="G77" s="143" t="s">
        <v>110</v>
      </c>
      <c r="H77" s="144">
        <v>0.0</v>
      </c>
      <c r="I77" s="43"/>
      <c r="J77" s="143" t="s">
        <v>110</v>
      </c>
      <c r="K77" s="144">
        <v>0.0</v>
      </c>
    </row>
    <row r="78" ht="15.75" hidden="1" customHeight="1" outlineLevel="2">
      <c r="A78" s="143" t="s">
        <v>111</v>
      </c>
      <c r="B78" s="144">
        <f>40%*B68</f>
        <v>760</v>
      </c>
      <c r="C78" s="43"/>
      <c r="D78" s="145"/>
      <c r="E78" s="146"/>
      <c r="F78" s="43"/>
      <c r="G78" s="143" t="s">
        <v>111</v>
      </c>
      <c r="H78" s="144">
        <f>SUM(H68*0.4)</f>
        <v>1404.02</v>
      </c>
      <c r="I78" s="43"/>
      <c r="J78" s="143" t="s">
        <v>111</v>
      </c>
      <c r="K78" s="144">
        <f>SUM(K68*0.4)</f>
        <v>1404.02</v>
      </c>
    </row>
    <row r="79" ht="15.75" hidden="1" customHeight="1" outlineLevel="2">
      <c r="A79" s="143" t="s">
        <v>112</v>
      </c>
      <c r="B79" s="144">
        <v>1000.0</v>
      </c>
      <c r="C79" s="43"/>
      <c r="D79" s="145"/>
      <c r="E79" s="146"/>
      <c r="F79" s="43"/>
      <c r="G79" s="143" t="s">
        <v>112</v>
      </c>
      <c r="H79" s="144">
        <v>0.0</v>
      </c>
      <c r="I79" s="43"/>
      <c r="J79" s="143" t="s">
        <v>112</v>
      </c>
      <c r="K79" s="144">
        <v>0.0</v>
      </c>
    </row>
    <row r="80" ht="15.75" hidden="1" customHeight="1" outlineLevel="2">
      <c r="A80" s="143" t="s">
        <v>113</v>
      </c>
      <c r="B80" s="146">
        <v>264.0</v>
      </c>
      <c r="C80" s="43"/>
      <c r="D80" s="145"/>
      <c r="E80" s="146"/>
      <c r="F80" s="43"/>
      <c r="G80" s="143" t="s">
        <v>113</v>
      </c>
      <c r="H80" s="144">
        <f>(12*23)</f>
        <v>276</v>
      </c>
      <c r="I80" s="43"/>
      <c r="J80" s="143" t="s">
        <v>113</v>
      </c>
      <c r="K80" s="144">
        <f>(12*23)</f>
        <v>276</v>
      </c>
    </row>
    <row r="81" ht="15.75" hidden="1" customHeight="1" outlineLevel="2">
      <c r="A81" s="143" t="s">
        <v>114</v>
      </c>
      <c r="B81" s="146">
        <v>145.0</v>
      </c>
      <c r="C81" s="43"/>
      <c r="D81" s="145"/>
      <c r="E81" s="146"/>
      <c r="F81" s="43"/>
      <c r="G81" s="143" t="s">
        <v>114</v>
      </c>
      <c r="H81" s="144">
        <v>145.0</v>
      </c>
      <c r="I81" s="43"/>
      <c r="J81" s="143" t="s">
        <v>114</v>
      </c>
      <c r="K81" s="144">
        <v>145.0</v>
      </c>
    </row>
    <row r="82" ht="15.75" hidden="1" customHeight="1" outlineLevel="2">
      <c r="A82" s="143" t="s">
        <v>115</v>
      </c>
      <c r="B82" s="146">
        <v>482.02</v>
      </c>
      <c r="C82" s="43"/>
      <c r="D82" s="145"/>
      <c r="E82" s="146"/>
      <c r="F82" s="43"/>
      <c r="G82" s="143" t="s">
        <v>115</v>
      </c>
      <c r="H82" s="144">
        <f>21.91*23</f>
        <v>503.93</v>
      </c>
      <c r="I82" s="43"/>
      <c r="J82" s="143" t="s">
        <v>115</v>
      </c>
      <c r="K82" s="144">
        <f>21.91*23</f>
        <v>503.93</v>
      </c>
    </row>
    <row r="83" ht="15.75" hidden="1" customHeight="1" outlineLevel="1">
      <c r="A83" s="132" t="s">
        <v>117</v>
      </c>
      <c r="B83" s="124">
        <f>SUM($E$99)*0.2</f>
        <v>823.832</v>
      </c>
      <c r="C83" s="43"/>
      <c r="D83" s="132" t="s">
        <v>118</v>
      </c>
      <c r="E83" s="124">
        <f>E99*0.4</f>
        <v>1647.664</v>
      </c>
      <c r="F83" s="43"/>
      <c r="G83" s="132" t="s">
        <v>119</v>
      </c>
      <c r="H83" s="124">
        <f>E99*0.3</f>
        <v>1235.748</v>
      </c>
      <c r="I83" s="43"/>
      <c r="J83" s="132" t="s">
        <v>120</v>
      </c>
      <c r="K83" s="124">
        <f>SUM($E$99)*0.1</f>
        <v>411.916</v>
      </c>
    </row>
    <row r="84" ht="15.75" hidden="1" customHeight="1" outlineLevel="2">
      <c r="A84" s="143" t="s">
        <v>98</v>
      </c>
      <c r="B84" s="144"/>
      <c r="C84" s="43"/>
      <c r="D84" s="145" t="s">
        <v>99</v>
      </c>
      <c r="E84" s="144">
        <v>1900.0</v>
      </c>
      <c r="F84" s="43"/>
      <c r="G84" s="143" t="s">
        <v>100</v>
      </c>
      <c r="H84" s="144"/>
      <c r="I84" s="43"/>
      <c r="J84" s="143" t="s">
        <v>101</v>
      </c>
      <c r="K84" s="144"/>
    </row>
    <row r="85" ht="15.75" hidden="1" customHeight="1" outlineLevel="2">
      <c r="A85" s="143"/>
      <c r="B85" s="144"/>
      <c r="C85" s="43"/>
      <c r="D85" s="145" t="s">
        <v>102</v>
      </c>
      <c r="E85" s="144">
        <v>212.8</v>
      </c>
      <c r="F85" s="43"/>
      <c r="G85" s="143"/>
      <c r="H85" s="144"/>
      <c r="I85" s="43"/>
      <c r="J85" s="143"/>
      <c r="K85" s="144"/>
    </row>
    <row r="86" ht="15.75" hidden="1" customHeight="1" outlineLevel="2">
      <c r="A86" s="143"/>
      <c r="B86" s="144"/>
      <c r="C86" s="43"/>
      <c r="D86" s="145" t="s">
        <v>103</v>
      </c>
      <c r="E86" s="144">
        <v>85.12</v>
      </c>
      <c r="F86" s="43"/>
      <c r="G86" s="143"/>
      <c r="H86" s="144"/>
      <c r="I86" s="43"/>
      <c r="J86" s="143"/>
      <c r="K86" s="144"/>
    </row>
    <row r="87" ht="15.75" hidden="1" customHeight="1" outlineLevel="2">
      <c r="A87" s="143"/>
      <c r="B87" s="144"/>
      <c r="C87" s="43"/>
      <c r="D87" s="145" t="s">
        <v>104</v>
      </c>
      <c r="E87" s="144">
        <v>16.89</v>
      </c>
      <c r="F87" s="43"/>
      <c r="G87" s="143"/>
      <c r="H87" s="144"/>
      <c r="I87" s="43"/>
      <c r="J87" s="143"/>
      <c r="K87" s="144"/>
    </row>
    <row r="88" ht="15.75" hidden="1" customHeight="1" outlineLevel="2">
      <c r="A88" s="143"/>
      <c r="B88" s="144"/>
      <c r="C88" s="43"/>
      <c r="D88" s="145" t="s">
        <v>105</v>
      </c>
      <c r="E88" s="144">
        <v>0.0</v>
      </c>
      <c r="F88" s="43"/>
      <c r="G88" s="143"/>
      <c r="H88" s="144"/>
      <c r="I88" s="43"/>
      <c r="J88" s="143"/>
      <c r="K88" s="144"/>
    </row>
    <row r="89" ht="15.75" hidden="1" customHeight="1" outlineLevel="2">
      <c r="A89" s="143"/>
      <c r="B89" s="144"/>
      <c r="C89" s="43"/>
      <c r="D89" s="145" t="s">
        <v>106</v>
      </c>
      <c r="E89" s="144">
        <v>215.08</v>
      </c>
      <c r="F89" s="43"/>
      <c r="G89" s="143"/>
      <c r="H89" s="144"/>
      <c r="I89" s="43"/>
      <c r="J89" s="143"/>
      <c r="K89" s="144"/>
    </row>
    <row r="90" ht="15.75" hidden="1" customHeight="1" outlineLevel="2">
      <c r="A90" s="143"/>
      <c r="B90" s="144"/>
      <c r="C90" s="43"/>
      <c r="D90" s="145" t="s">
        <v>107</v>
      </c>
      <c r="E90" s="144">
        <v>42.22</v>
      </c>
      <c r="F90" s="43"/>
      <c r="G90" s="143"/>
      <c r="H90" s="144"/>
      <c r="I90" s="43"/>
      <c r="J90" s="143"/>
      <c r="K90" s="144"/>
    </row>
    <row r="91" ht="15.75" hidden="1" customHeight="1" outlineLevel="2">
      <c r="A91" s="143"/>
      <c r="B91" s="144"/>
      <c r="C91" s="43"/>
      <c r="D91" s="145" t="s">
        <v>108</v>
      </c>
      <c r="E91" s="144">
        <v>158.33</v>
      </c>
      <c r="F91" s="43"/>
      <c r="G91" s="143"/>
      <c r="H91" s="144"/>
      <c r="I91" s="43"/>
      <c r="J91" s="143"/>
      <c r="K91" s="144"/>
    </row>
    <row r="92" ht="15.75" hidden="1" customHeight="1" outlineLevel="2">
      <c r="A92" s="143"/>
      <c r="B92" s="144"/>
      <c r="C92" s="43"/>
      <c r="D92" s="145" t="s">
        <v>109</v>
      </c>
      <c r="E92" s="144">
        <v>52.78</v>
      </c>
      <c r="F92" s="43"/>
      <c r="G92" s="143"/>
      <c r="H92" s="144"/>
      <c r="I92" s="43"/>
      <c r="J92" s="143"/>
      <c r="K92" s="144"/>
    </row>
    <row r="93" ht="15.75" hidden="1" customHeight="1" outlineLevel="2">
      <c r="A93" s="143"/>
      <c r="B93" s="144"/>
      <c r="C93" s="43"/>
      <c r="D93" s="145" t="s">
        <v>110</v>
      </c>
      <c r="E93" s="144">
        <v>0.0</v>
      </c>
      <c r="F93" s="43"/>
      <c r="G93" s="143"/>
      <c r="H93" s="144"/>
      <c r="I93" s="43"/>
      <c r="J93" s="143"/>
      <c r="K93" s="144"/>
    </row>
    <row r="94" ht="15.75" hidden="1" customHeight="1" outlineLevel="2">
      <c r="A94" s="143"/>
      <c r="B94" s="144"/>
      <c r="C94" s="43"/>
      <c r="D94" s="145" t="s">
        <v>111</v>
      </c>
      <c r="E94" s="144">
        <f>40%*E84</f>
        <v>760</v>
      </c>
      <c r="F94" s="43"/>
      <c r="G94" s="143"/>
      <c r="H94" s="144"/>
      <c r="I94" s="43"/>
      <c r="J94" s="143"/>
      <c r="K94" s="144"/>
    </row>
    <row r="95" ht="15.75" hidden="1" customHeight="1" outlineLevel="2">
      <c r="A95" s="143"/>
      <c r="B95" s="144"/>
      <c r="C95" s="43"/>
      <c r="D95" s="145" t="s">
        <v>112</v>
      </c>
      <c r="E95" s="144">
        <v>0.0</v>
      </c>
      <c r="F95" s="43"/>
      <c r="G95" s="143"/>
      <c r="H95" s="144"/>
      <c r="I95" s="43"/>
      <c r="J95" s="143"/>
      <c r="K95" s="144"/>
    </row>
    <row r="96" ht="15.75" hidden="1" customHeight="1" outlineLevel="2">
      <c r="A96" s="143"/>
      <c r="B96" s="144"/>
      <c r="C96" s="43"/>
      <c r="D96" s="145" t="s">
        <v>113</v>
      </c>
      <c r="E96" s="146">
        <v>264.0</v>
      </c>
      <c r="F96" s="43"/>
      <c r="G96" s="143"/>
      <c r="H96" s="144"/>
      <c r="I96" s="43"/>
      <c r="J96" s="143"/>
      <c r="K96" s="144"/>
    </row>
    <row r="97" ht="15.75" hidden="1" customHeight="1" outlineLevel="2">
      <c r="A97" s="143"/>
      <c r="B97" s="144"/>
      <c r="C97" s="43"/>
      <c r="D97" s="145" t="s">
        <v>114</v>
      </c>
      <c r="E97" s="146">
        <v>145.0</v>
      </c>
      <c r="F97" s="43"/>
      <c r="G97" s="143"/>
      <c r="H97" s="144"/>
      <c r="I97" s="43"/>
      <c r="J97" s="143"/>
      <c r="K97" s="144"/>
    </row>
    <row r="98" ht="15.75" hidden="1" customHeight="1" outlineLevel="2">
      <c r="A98" s="143"/>
      <c r="B98" s="144"/>
      <c r="C98" s="43"/>
      <c r="D98" s="145" t="s">
        <v>115</v>
      </c>
      <c r="E98" s="146">
        <v>482.02</v>
      </c>
      <c r="F98" s="43"/>
      <c r="G98" s="143"/>
      <c r="H98" s="144"/>
      <c r="I98" s="43"/>
      <c r="J98" s="143"/>
      <c r="K98" s="144"/>
    </row>
    <row r="99" ht="15.75" hidden="1" customHeight="1" outlineLevel="2">
      <c r="A99" s="132"/>
      <c r="B99" s="148"/>
      <c r="C99" s="43"/>
      <c r="D99" s="145" t="s">
        <v>9</v>
      </c>
      <c r="E99" s="151">
        <f>SUM(E84,E85,E86,E87,E90,E91,E92,E94,E96,E97,E98)</f>
        <v>4119.16</v>
      </c>
      <c r="F99" s="43"/>
      <c r="G99" s="132"/>
      <c r="H99" s="138"/>
      <c r="I99" s="43"/>
      <c r="J99" s="132"/>
      <c r="K99" s="148"/>
    </row>
    <row r="100" ht="15.75" hidden="1" customHeight="1" outlineLevel="1">
      <c r="A100" s="132" t="s">
        <v>121</v>
      </c>
      <c r="B100" s="124">
        <v>0.0</v>
      </c>
      <c r="C100" s="43"/>
      <c r="D100" s="149"/>
      <c r="E100" s="149"/>
      <c r="F100" s="43"/>
      <c r="G100" s="132"/>
      <c r="H100" s="138"/>
      <c r="I100" s="43"/>
      <c r="J100" s="132"/>
      <c r="K100" s="124"/>
    </row>
    <row r="101" ht="15.75" customHeight="1" collapsed="1">
      <c r="A101" s="152" t="s">
        <v>122</v>
      </c>
      <c r="B101" s="139">
        <f>SUM(B102,B103,B104,B105,B106)</f>
        <v>30512.54</v>
      </c>
      <c r="C101" s="140"/>
      <c r="D101" s="152" t="s">
        <v>122</v>
      </c>
      <c r="E101" s="139">
        <f>SUM(E102,E103,E104)</f>
        <v>2863.5</v>
      </c>
      <c r="F101" s="140"/>
      <c r="G101" s="152" t="s">
        <v>122</v>
      </c>
      <c r="H101" s="139">
        <f>SUM(H102,H103,H104)</f>
        <v>2697.5</v>
      </c>
      <c r="I101" s="140"/>
      <c r="J101" s="152" t="s">
        <v>122</v>
      </c>
      <c r="K101" s="139">
        <f>SUM(K102,K103,K104)</f>
        <v>1746</v>
      </c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15.75" hidden="1" customHeight="1" outlineLevel="1">
      <c r="A102" s="123" t="s">
        <v>123</v>
      </c>
      <c r="B102" s="124">
        <f>SUMIFS('GASTOS DETALHADOS'!$C:$C,'GASTOS DETALHADOS'!$E:$E,A$1,'GASTOS DETALHADOS'!$F:$F,A102)</f>
        <v>8746.5</v>
      </c>
      <c r="C102" s="43"/>
      <c r="D102" s="123" t="s">
        <v>123</v>
      </c>
      <c r="E102" s="124">
        <f>SUMIFS('GASTOS DETALHADOS'!$C:$C,'GASTOS DETALHADOS'!$E:$E,D$1,'GASTOS DETALHADOS'!$F:$F,D102)</f>
        <v>0</v>
      </c>
      <c r="F102" s="43"/>
      <c r="G102" s="123" t="s">
        <v>123</v>
      </c>
      <c r="H102" s="124">
        <f>SUMIFS('GASTOS DETALHADOS'!$C:$C,'GASTOS DETALHADOS'!$E:$E,G$1,'GASTOS DETALHADOS'!$F:$F,G102)</f>
        <v>0</v>
      </c>
      <c r="I102" s="43"/>
      <c r="J102" s="123" t="s">
        <v>123</v>
      </c>
      <c r="K102" s="124">
        <f>SUMIFS('GASTOS DETALHADOS'!$C:$C,'GASTOS DETALHADOS'!$E:$E,J$1,'GASTOS DETALHADOS'!$F:$F,J102)</f>
        <v>0</v>
      </c>
    </row>
    <row r="103" ht="15.75" hidden="1" customHeight="1" outlineLevel="1">
      <c r="A103" s="123" t="s">
        <v>124</v>
      </c>
      <c r="B103" s="124">
        <f>SUMIFS('GASTOS DETALHADOS'!$C:$C,'GASTOS DETALHADOS'!$E:$E,A$1,'GASTOS DETALHADOS'!$F:$F,A103)</f>
        <v>710.5</v>
      </c>
      <c r="C103" s="43"/>
      <c r="D103" s="123" t="s">
        <v>124</v>
      </c>
      <c r="E103" s="124">
        <f>SUMIFS('GASTOS DETALHADOS'!$C:$C,'GASTOS DETALHADOS'!$E:$E,D$1,'GASTOS DETALHADOS'!$F:$F,D103)</f>
        <v>2183.5</v>
      </c>
      <c r="F103" s="43"/>
      <c r="G103" s="123" t="s">
        <v>124</v>
      </c>
      <c r="H103" s="124">
        <f>SUMIFS('GASTOS DETALHADOS'!$C:$C,'GASTOS DETALHADOS'!$E:$E,G$1,'GASTOS DETALHADOS'!$F:$F,G103)</f>
        <v>2349</v>
      </c>
      <c r="I103" s="43"/>
      <c r="J103" s="123" t="s">
        <v>124</v>
      </c>
      <c r="K103" s="124">
        <f>SUMIFS('GASTOS DETALHADOS'!$C:$C,'GASTOS DETALHADOS'!$E:$E,J$1,'GASTOS DETALHADOS'!$F:$F,J103)</f>
        <v>1746</v>
      </c>
    </row>
    <row r="104" ht="15.75" hidden="1" customHeight="1" outlineLevel="1">
      <c r="A104" s="123" t="s">
        <v>125</v>
      </c>
      <c r="B104" s="124">
        <f>SUMIFS('GASTOS DETALHADOS'!$C:$C,'GASTOS DETALHADOS'!$E:$E,A$1,'GASTOS DETALHADOS'!$F:$F,A104)</f>
        <v>19774.54</v>
      </c>
      <c r="C104" s="43"/>
      <c r="D104" s="123" t="s">
        <v>125</v>
      </c>
      <c r="E104" s="124">
        <f>SUMIFS('GASTOS DETALHADOS'!$C:$C,'GASTOS DETALHADOS'!$E:$E,D$1,'GASTOS DETALHADOS'!$F:$F,D104)</f>
        <v>680</v>
      </c>
      <c r="F104" s="43"/>
      <c r="G104" s="123" t="s">
        <v>125</v>
      </c>
      <c r="H104" s="124">
        <f>SUMIFS('GASTOS DETALHADOS'!$C:$C,'GASTOS DETALHADOS'!$E:$E,G$1,'GASTOS DETALHADOS'!$F:$F,G104)</f>
        <v>348.5</v>
      </c>
      <c r="I104" s="43"/>
      <c r="J104" s="123" t="s">
        <v>125</v>
      </c>
      <c r="K104" s="124">
        <f>SUMIFS('GASTOS DETALHADOS'!$C:$C,'GASTOS DETALHADOS'!$E:$E,J$1,'GASTOS DETALHADOS'!$F:$F,J104)</f>
        <v>0</v>
      </c>
    </row>
    <row r="105" ht="15.75" hidden="1" customHeight="1" outlineLevel="1">
      <c r="A105" s="123" t="s">
        <v>126</v>
      </c>
      <c r="B105" s="124">
        <f>SUMIFS('GASTOS DETALHADOS'!$C:$C,'GASTOS DETALHADOS'!$E:$E,A$1,'GASTOS DETALHADOS'!$F:$F,A105)</f>
        <v>1170.5</v>
      </c>
      <c r="C105" s="43"/>
      <c r="D105" s="123" t="s">
        <v>126</v>
      </c>
      <c r="E105" s="124">
        <f>SUMIFS('GASTOS DETALHADOS'!$C:$C,'GASTOS DETALHADOS'!$E:$E,D$1,'GASTOS DETALHADOS'!$F:$F,D105)</f>
        <v>0</v>
      </c>
      <c r="F105" s="43"/>
      <c r="G105" s="123" t="s">
        <v>126</v>
      </c>
      <c r="H105" s="124">
        <f>SUMIFS('GASTOS DETALHADOS'!$C:$C,'GASTOS DETALHADOS'!$E:$E,G$1,'GASTOS DETALHADOS'!$F:$F,G105)</f>
        <v>0</v>
      </c>
      <c r="I105" s="43"/>
      <c r="J105" s="123" t="s">
        <v>126</v>
      </c>
      <c r="K105" s="124">
        <f>SUMIFS('GASTOS DETALHADOS'!$C:$C,'GASTOS DETALHADOS'!$E:$E,J$1,'GASTOS DETALHADOS'!$F:$F,J105)</f>
        <v>0</v>
      </c>
    </row>
    <row r="106" ht="15.75" customHeight="1" collapsed="1">
      <c r="A106" s="121" t="s">
        <v>127</v>
      </c>
      <c r="B106" s="124">
        <f>SUMIFS('GASTOS DETALHADOS'!$C:$C,'GASTOS DETALHADOS'!$E:$E,A$1,'GASTOS DETALHADOS'!$F:$F,A106)</f>
        <v>110.5</v>
      </c>
      <c r="C106" s="43"/>
      <c r="D106" s="121" t="s">
        <v>127</v>
      </c>
      <c r="E106" s="142">
        <f>SUMIFS('GASTOS DETALHADOS'!$C:$C,'GASTOS DETALHADOS'!$E:$E,D$1,'GASTOS DETALHADOS'!$F:$F,D106)</f>
        <v>1280</v>
      </c>
      <c r="F106" s="43"/>
      <c r="G106" s="121" t="s">
        <v>127</v>
      </c>
      <c r="H106" s="124">
        <f>SUMIFS('GASTOS DETALHADOS'!$C:$C,'GASTOS DETALHADOS'!$E:$E,G$1,'GASTOS DETALHADOS'!$F:$F,G106)</f>
        <v>1610</v>
      </c>
      <c r="I106" s="43"/>
      <c r="J106" s="121" t="s">
        <v>127</v>
      </c>
      <c r="K106" s="124">
        <f>SUMIFS('GASTOS DETALHADOS'!$C:$C,'GASTOS DETALHADOS'!$E:$E,J$1,'GASTOS DETALHADOS'!$F:$F,J106)</f>
        <v>0</v>
      </c>
    </row>
    <row r="107" ht="15.75" customHeight="1">
      <c r="A107" s="121" t="s">
        <v>128</v>
      </c>
      <c r="B107" s="124">
        <f>SUMIFS('GASTOS DETALHADOS'!$C:$C,'GASTOS DETALHADOS'!$E:$E,A$1,'GASTOS DETALHADOS'!$F:$F,A107)</f>
        <v>4235</v>
      </c>
      <c r="C107" s="43"/>
      <c r="D107" s="121" t="s">
        <v>128</v>
      </c>
      <c r="E107" s="124">
        <f>SUMIFS('GASTOS DETALHADOS'!$C:$C,'GASTOS DETALHADOS'!$E:$E,D$1,'GASTOS DETALHADOS'!$F:$F,D107)</f>
        <v>0</v>
      </c>
      <c r="F107" s="43"/>
      <c r="G107" s="121" t="s">
        <v>128</v>
      </c>
      <c r="H107" s="124">
        <f>SUMIFS('GASTOS DETALHADOS'!$C:$C,'GASTOS DETALHADOS'!$E:$E,G$1,'GASTOS DETALHADOS'!$F:$F,G107)</f>
        <v>0</v>
      </c>
      <c r="I107" s="43"/>
      <c r="J107" s="121" t="s">
        <v>128</v>
      </c>
      <c r="K107" s="124">
        <f>SUMIFS('GASTOS DETALHADOS'!$C:$C,'GASTOS DETALHADOS'!$E:$E,J$1,'GASTOS DETALHADOS'!$F:$F,J107)</f>
        <v>0</v>
      </c>
    </row>
    <row r="108" ht="15.75" customHeight="1">
      <c r="A108" s="130"/>
      <c r="B108" s="135">
        <f>SUM(B101,B49,B106,B107)</f>
        <v>42171.9636</v>
      </c>
      <c r="C108" s="43"/>
      <c r="D108" s="130"/>
      <c r="E108" s="135">
        <f>SUM(E101,E49,E106,E107)</f>
        <v>8533.0272</v>
      </c>
      <c r="F108" s="43"/>
      <c r="G108" s="130"/>
      <c r="H108" s="135">
        <f>SUM(H101,H49,H106,H107)</f>
        <v>7599.6454</v>
      </c>
      <c r="I108" s="43"/>
      <c r="J108" s="130"/>
      <c r="K108" s="135">
        <f>SUM(K101,K49,K106,K107)</f>
        <v>2843.3818</v>
      </c>
    </row>
    <row r="109" ht="15.75" customHeight="1">
      <c r="A109" s="123" t="s">
        <v>129</v>
      </c>
      <c r="B109" s="128"/>
      <c r="C109" s="43"/>
      <c r="D109" s="123" t="s">
        <v>129</v>
      </c>
      <c r="E109" s="124">
        <f>SUMIFS('GASTOS DETALHADOS'!$C:$C,'GASTOS DETALHADOS'!$E:$E,D$1,'GASTOS DETALHADOS'!$F:$F,D109)</f>
        <v>0</v>
      </c>
      <c r="F109" s="43"/>
      <c r="G109" s="123" t="s">
        <v>129</v>
      </c>
      <c r="H109" s="124">
        <f>SUMIFS('GASTOS DETALHADOS'!$C:$C,'GASTOS DETALHADOS'!$E:$E,G$1,'GASTOS DETALHADOS'!$F:$F,G109)</f>
        <v>0</v>
      </c>
      <c r="I109" s="43"/>
      <c r="J109" s="123" t="s">
        <v>129</v>
      </c>
      <c r="K109" s="124">
        <f>SUMIFS('GASTOS DETALHADOS'!$C:$C,'GASTOS DETALHADOS'!$E:$E,J$1,'GASTOS DETALHADOS'!$F:$F,J109)</f>
        <v>0</v>
      </c>
    </row>
    <row r="110" ht="15.75" customHeight="1">
      <c r="A110" s="121" t="s">
        <v>130</v>
      </c>
      <c r="B110" s="153"/>
      <c r="C110" s="43"/>
      <c r="D110" s="123" t="s">
        <v>131</v>
      </c>
      <c r="E110" s="124">
        <f>SUMIFS('GASTOS DETALHADOS'!$C:$C,'GASTOS DETALHADOS'!$E:$E,D$1,'GASTOS DETALHADOS'!$F:$F,D110)</f>
        <v>0</v>
      </c>
      <c r="F110" s="43"/>
      <c r="G110" s="123" t="s">
        <v>131</v>
      </c>
      <c r="H110" s="124">
        <f>SUMIFS('GASTOS DETALHADOS'!$C:$C,'GASTOS DETALHADOS'!$E:$E,G$1,'GASTOS DETALHADOS'!$F:$F,G110)</f>
        <v>0</v>
      </c>
      <c r="I110" s="43"/>
      <c r="J110" s="122"/>
      <c r="K110" s="138"/>
    </row>
    <row r="111" ht="15.75" customHeight="1">
      <c r="A111" s="123" t="s">
        <v>132</v>
      </c>
      <c r="B111" s="142">
        <v>0.0</v>
      </c>
      <c r="C111" s="154"/>
      <c r="D111" s="132"/>
      <c r="E111" s="128"/>
      <c r="F111" s="154"/>
      <c r="G111" s="132"/>
      <c r="H111" s="128"/>
      <c r="I111" s="154"/>
      <c r="J111" s="132"/>
      <c r="K111" s="128"/>
    </row>
    <row r="112" ht="15.75" customHeight="1">
      <c r="A112" s="123" t="s">
        <v>133</v>
      </c>
      <c r="B112" s="155">
        <v>0.0</v>
      </c>
      <c r="C112" s="154"/>
      <c r="D112" s="132"/>
      <c r="E112" s="156"/>
      <c r="F112" s="154"/>
      <c r="G112" s="132"/>
      <c r="H112" s="156"/>
      <c r="I112" s="154"/>
      <c r="J112" s="132"/>
      <c r="K112" s="156"/>
    </row>
    <row r="113" ht="15.75" customHeight="1">
      <c r="A113" s="123" t="s">
        <v>134</v>
      </c>
      <c r="B113" s="155">
        <v>0.0</v>
      </c>
      <c r="C113" s="154"/>
      <c r="D113" s="132"/>
      <c r="E113" s="156"/>
      <c r="F113" s="154"/>
      <c r="G113" s="132"/>
      <c r="H113" s="156"/>
      <c r="I113" s="154"/>
      <c r="J113" s="132"/>
      <c r="K113" s="156"/>
    </row>
    <row r="114" ht="15.75" customHeight="1">
      <c r="A114" s="123" t="s">
        <v>135</v>
      </c>
      <c r="B114" s="155">
        <v>0.0</v>
      </c>
      <c r="C114" s="154"/>
      <c r="D114" s="132"/>
      <c r="E114" s="156"/>
      <c r="F114" s="154"/>
      <c r="G114" s="132"/>
      <c r="H114" s="156"/>
      <c r="I114" s="154"/>
      <c r="J114" s="132"/>
      <c r="K114" s="156"/>
    </row>
    <row r="115" ht="15.75" customHeight="1">
      <c r="A115" s="157" t="s">
        <v>136</v>
      </c>
      <c r="B115" s="124">
        <f>SUMIFS('GASTOS DETALHADOS'!$C:$C,'GASTOS DETALHADOS'!$E:$E,A$1,'GASTOS DETALHADOS'!$F:$F,A115)*0.5</f>
        <v>8289.995</v>
      </c>
      <c r="C115" s="43"/>
      <c r="D115" s="158" t="s">
        <v>137</v>
      </c>
      <c r="E115" s="124">
        <f>SUMIFS('GASTOS DETALHADOS'!$C:$C,'GASTOS DETALHADOS'!$E:$E,A$1,'GASTOS DETALHADOS'!$F:$F,A115)*0.25</f>
        <v>4144.9975</v>
      </c>
      <c r="F115" s="43"/>
      <c r="G115" s="158" t="s">
        <v>137</v>
      </c>
      <c r="H115" s="124">
        <f>SUMIFS('GASTOS DETALHADOS'!$C:$C,'GASTOS DETALHADOS'!$E:$E,A$1,'GASTOS DETALHADOS'!$F:$F,A115)*0.25</f>
        <v>4144.9975</v>
      </c>
      <c r="I115" s="43"/>
      <c r="J115" s="158" t="s">
        <v>137</v>
      </c>
      <c r="K115" s="138">
        <v>0.0</v>
      </c>
    </row>
    <row r="116" ht="15.75" customHeight="1">
      <c r="A116" s="123" t="s">
        <v>138</v>
      </c>
      <c r="B116" s="124">
        <v>4000.0</v>
      </c>
      <c r="C116" s="43"/>
      <c r="D116" s="132"/>
      <c r="E116" s="138"/>
      <c r="F116" s="43"/>
      <c r="G116" s="132"/>
      <c r="H116" s="138"/>
      <c r="I116" s="43"/>
      <c r="J116" s="132"/>
      <c r="K116" s="138"/>
    </row>
    <row r="117" ht="15.75" customHeight="1">
      <c r="A117" s="123" t="s">
        <v>139</v>
      </c>
      <c r="B117" s="124">
        <f>SUMIFS('GASTOS DETALHADOS'!$C:$C,'GASTOS DETALHADOS'!$E:$E,A$1,'GASTOS DETALHADOS'!$F:$F,A117)</f>
        <v>0</v>
      </c>
      <c r="C117" s="43"/>
      <c r="D117" s="132"/>
      <c r="E117" s="138"/>
      <c r="F117" s="43"/>
      <c r="G117" s="132"/>
      <c r="H117" s="138"/>
      <c r="I117" s="43"/>
      <c r="J117" s="132"/>
      <c r="K117" s="138"/>
    </row>
    <row r="118" ht="15.75" customHeight="1">
      <c r="A118" s="123" t="s">
        <v>131</v>
      </c>
      <c r="B118" s="124">
        <f>SUMIFS('GASTOS DETALHADOS'!$C:$C,'GASTOS DETALHADOS'!$E:$E,A$1,'GASTOS DETALHADOS'!$F:$F,A118)</f>
        <v>0</v>
      </c>
      <c r="C118" s="43"/>
      <c r="D118" s="132"/>
      <c r="E118" s="128"/>
      <c r="F118" s="43"/>
      <c r="G118" s="132"/>
      <c r="H118" s="128"/>
      <c r="I118" s="43"/>
      <c r="J118" s="132"/>
      <c r="K118" s="128"/>
    </row>
    <row r="119" ht="15.75" customHeight="1">
      <c r="A119" s="123" t="s">
        <v>140</v>
      </c>
      <c r="B119" s="124">
        <f>SUMIFS('GASTOS DETALHADOS'!$C:$C,'GASTOS DETALHADOS'!$E:$E,A$1,'GASTOS DETALHADOS'!$F:$F,A119)</f>
        <v>0</v>
      </c>
      <c r="C119" s="43"/>
      <c r="D119" s="132"/>
      <c r="E119" s="128"/>
      <c r="F119" s="43"/>
      <c r="G119" s="132"/>
      <c r="H119" s="128"/>
      <c r="I119" s="43"/>
      <c r="J119" s="132"/>
      <c r="K119" s="128"/>
    </row>
    <row r="120" ht="15.75" customHeight="1">
      <c r="A120" s="126"/>
      <c r="B120" s="135">
        <f>SUM(B115,B119,B118,B117,B110,B116)</f>
        <v>12289.995</v>
      </c>
      <c r="C120" s="43"/>
      <c r="D120" s="126"/>
      <c r="E120" s="135">
        <f>SUM(E115,E119,E118,E117,E110)</f>
        <v>4144.9975</v>
      </c>
      <c r="F120" s="43"/>
      <c r="G120" s="126"/>
      <c r="H120" s="135">
        <f>SUM(H115,H119,H118,H117,H110)</f>
        <v>4144.9975</v>
      </c>
      <c r="I120" s="43"/>
      <c r="J120" s="126"/>
      <c r="K120" s="135">
        <f>SUM(K115,K119,K118,K117,K110)</f>
        <v>0</v>
      </c>
    </row>
    <row r="121" ht="15.75" customHeight="1">
      <c r="A121" s="121" t="s">
        <v>141</v>
      </c>
      <c r="B121" s="138"/>
      <c r="C121" s="43"/>
      <c r="D121" s="121" t="s">
        <v>141</v>
      </c>
      <c r="E121" s="124">
        <f>SUMIFS('GASTOS DETALHADOS'!$C:$C,'GASTOS DETALHADOS'!$E:$E,D$1,'GASTOS DETALHADOS'!$F:$F,D121)</f>
        <v>0</v>
      </c>
      <c r="F121" s="43"/>
      <c r="G121" s="121" t="s">
        <v>141</v>
      </c>
      <c r="H121" s="124">
        <f>SUMIFS('GASTOS DETALHADOS'!$C:$C,'GASTOS DETALHADOS'!$E:$E,G$1,'GASTOS DETALHADOS'!$F:$F,G121)</f>
        <v>0</v>
      </c>
      <c r="I121" s="43"/>
      <c r="J121" s="121" t="s">
        <v>141</v>
      </c>
      <c r="K121" s="124">
        <f>SUMIFS('GASTOS DETALHADOS'!$C:$C,'GASTOS DETALHADOS'!$E:$E,J$1,'GASTOS DETALHADOS'!$F:$F,J121)</f>
        <v>0</v>
      </c>
    </row>
    <row r="122" ht="15.75" customHeight="1">
      <c r="A122" s="121" t="s">
        <v>141</v>
      </c>
      <c r="B122" s="124">
        <f>SUMIFS('GASTOS DETALHADOS'!$C:$C,'GASTOS DETALHADOS'!$E:$E,A$1,'GASTOS DETALHADOS'!$F:$F,A122)</f>
        <v>460</v>
      </c>
      <c r="C122" s="43"/>
      <c r="D122" s="121" t="s">
        <v>141</v>
      </c>
      <c r="E122" s="124">
        <f>SUMIFS('GASTOS DETALHADOS'!$C:$C,'GASTOS DETALHADOS'!$E:$E,D$1,'GASTOS DETALHADOS'!$F:$F,D122)</f>
        <v>0</v>
      </c>
      <c r="F122" s="43"/>
      <c r="G122" s="121" t="s">
        <v>141</v>
      </c>
      <c r="H122" s="124">
        <f>SUMIFS('GASTOS DETALHADOS'!$C:$C,'GASTOS DETALHADOS'!$E:$E,G$1,'GASTOS DETALHADOS'!$F:$F,G122)</f>
        <v>0</v>
      </c>
      <c r="I122" s="43"/>
      <c r="J122" s="121" t="s">
        <v>141</v>
      </c>
      <c r="K122" s="124">
        <f>SUMIFS('GASTOS DETALHADOS'!$C:$C,'GASTOS DETALHADOS'!$E:$E,J$1,'GASTOS DETALHADOS'!$F:$F,J122)</f>
        <v>0</v>
      </c>
    </row>
    <row r="123" ht="15.75" customHeight="1">
      <c r="A123" s="126"/>
      <c r="B123" s="135">
        <f>B122</f>
        <v>460</v>
      </c>
      <c r="C123" s="43"/>
      <c r="D123" s="126"/>
      <c r="E123" s="135">
        <f>E122</f>
        <v>0</v>
      </c>
      <c r="F123" s="43"/>
      <c r="G123" s="126"/>
      <c r="H123" s="135">
        <f>H122</f>
        <v>0</v>
      </c>
      <c r="I123" s="43"/>
      <c r="J123" s="126"/>
      <c r="K123" s="135">
        <f>K122</f>
        <v>0</v>
      </c>
    </row>
    <row r="124" ht="15.75" customHeight="1">
      <c r="A124" s="122"/>
      <c r="B124" s="159">
        <f>SUM(B123,B120,B108,B47,B44,B39,B36,B32,B27,B23,B19,B15,B10,B6)</f>
        <v>116271.6486</v>
      </c>
      <c r="C124" s="43"/>
      <c r="D124" s="122"/>
      <c r="E124" s="159">
        <f>SUM(E123,E120,E108,E47,E44,E39,E36,E32,E27,E23,E19,E15,E10,E6)</f>
        <v>23298.84803</v>
      </c>
      <c r="F124" s="43"/>
      <c r="G124" s="122"/>
      <c r="H124" s="159">
        <f>SUM(H123,H120,H108,H47,H44,H39,H36,H32,H27,H23,H19,H15,H10,H6)</f>
        <v>17107.27623</v>
      </c>
      <c r="I124" s="43"/>
      <c r="J124" s="122"/>
      <c r="K124" s="159">
        <f>SUM(K123,K120,K108,K47,K44,K39,K36,K32,K27,K23,K19,K15,K10,K6)</f>
        <v>7923.295133</v>
      </c>
    </row>
    <row r="125" ht="15.75" customHeight="1">
      <c r="A125" s="43"/>
      <c r="B125" s="43"/>
      <c r="C125" s="43"/>
      <c r="D125" s="87"/>
      <c r="E125" s="43"/>
      <c r="F125" s="43"/>
      <c r="G125" s="87"/>
      <c r="H125" s="43"/>
      <c r="I125" s="43"/>
      <c r="J125" s="87"/>
      <c r="K125" s="43"/>
    </row>
    <row r="126" ht="15.75" customHeight="1">
      <c r="A126" s="43"/>
      <c r="B126" s="87"/>
      <c r="C126" s="43"/>
      <c r="D126" s="87"/>
      <c r="E126" s="43"/>
      <c r="F126" s="43"/>
      <c r="G126" s="87"/>
      <c r="H126" s="43"/>
      <c r="I126" s="43"/>
      <c r="J126" s="87"/>
      <c r="K126" s="43"/>
    </row>
    <row r="127" ht="15.75" customHeight="1">
      <c r="A127" s="43"/>
      <c r="B127" s="87"/>
      <c r="C127" s="43"/>
      <c r="D127" s="43">
        <v>178.0</v>
      </c>
      <c r="E127" s="87">
        <f>SUM(E124:K124)</f>
        <v>48329.4194</v>
      </c>
      <c r="F127" s="43"/>
      <c r="G127" s="87"/>
      <c r="H127" s="43"/>
      <c r="I127" s="43"/>
      <c r="J127" s="87"/>
      <c r="K127" s="43"/>
    </row>
    <row r="128" ht="15.75" customHeight="1">
      <c r="A128" s="43"/>
      <c r="B128" s="43"/>
      <c r="C128" s="43"/>
      <c r="D128" s="87"/>
      <c r="E128" s="43"/>
      <c r="F128" s="43"/>
      <c r="G128" s="87"/>
      <c r="H128" s="43"/>
      <c r="I128" s="43"/>
      <c r="J128" s="87"/>
      <c r="K128" s="43"/>
    </row>
    <row r="129" ht="15.75" customHeight="1">
      <c r="A129" s="43"/>
      <c r="B129" s="43"/>
      <c r="C129" s="43"/>
      <c r="D129" s="87"/>
      <c r="E129" s="43"/>
      <c r="F129" s="43"/>
      <c r="G129" s="87"/>
      <c r="H129" s="43"/>
      <c r="I129" s="43"/>
      <c r="J129" s="87"/>
      <c r="K129" s="43"/>
    </row>
    <row r="130" ht="15.75" customHeight="1">
      <c r="A130" s="43"/>
      <c r="B130" s="160"/>
      <c r="C130" s="43"/>
      <c r="D130" s="87"/>
      <c r="E130" s="43"/>
      <c r="F130" s="43"/>
      <c r="G130" s="87"/>
      <c r="H130" s="43"/>
      <c r="I130" s="43"/>
      <c r="J130" s="87"/>
      <c r="K130" s="43"/>
    </row>
    <row r="131" ht="15.75" customHeight="1">
      <c r="A131" s="43"/>
      <c r="B131" s="43"/>
      <c r="C131" s="43"/>
      <c r="D131" s="87"/>
      <c r="E131" s="43"/>
      <c r="F131" s="43"/>
      <c r="G131" s="87"/>
      <c r="H131" s="43"/>
      <c r="I131" s="43"/>
      <c r="J131" s="87"/>
      <c r="K131" s="43"/>
    </row>
    <row r="132" ht="15.75" customHeight="1">
      <c r="A132" s="43"/>
      <c r="B132" s="160"/>
      <c r="C132" s="43"/>
      <c r="D132" s="87"/>
      <c r="E132" s="43"/>
      <c r="F132" s="43"/>
      <c r="G132" s="87"/>
      <c r="H132" s="43"/>
      <c r="I132" s="43"/>
      <c r="J132" s="87"/>
      <c r="K132" s="43"/>
    </row>
    <row r="133" ht="15.75" customHeight="1">
      <c r="A133" s="43"/>
      <c r="B133" s="43"/>
      <c r="C133" s="43"/>
      <c r="D133" s="87"/>
      <c r="E133" s="43"/>
      <c r="F133" s="43"/>
      <c r="G133" s="87"/>
      <c r="H133" s="43"/>
      <c r="I133" s="43"/>
      <c r="J133" s="87"/>
      <c r="K133" s="43"/>
    </row>
    <row r="134" ht="15.75" customHeight="1">
      <c r="A134" s="43"/>
      <c r="B134" s="43"/>
      <c r="C134" s="43"/>
      <c r="D134" s="87"/>
      <c r="E134" s="43"/>
      <c r="F134" s="43"/>
      <c r="G134" s="87"/>
      <c r="H134" s="43"/>
      <c r="I134" s="43"/>
      <c r="J134" s="87"/>
      <c r="K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A1:B1"/>
    <mergeCell ref="D1:E1"/>
    <mergeCell ref="G1:H1"/>
    <mergeCell ref="J1:K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6.25"/>
    <col customWidth="1" min="3" max="3" width="11.25"/>
    <col customWidth="1" min="4" max="4" width="56.63"/>
    <col customWidth="1" min="5" max="5" width="15.0"/>
    <col customWidth="1" min="6" max="6" width="36.75"/>
    <col customWidth="1" min="7" max="7" width="22.13"/>
  </cols>
  <sheetData>
    <row r="1" ht="15.75" customHeight="1">
      <c r="A1" s="43" t="s">
        <v>142</v>
      </c>
      <c r="B1" s="43" t="s">
        <v>143</v>
      </c>
      <c r="C1" s="87" t="s">
        <v>144</v>
      </c>
      <c r="D1" s="43" t="s">
        <v>145</v>
      </c>
      <c r="E1" s="43" t="s">
        <v>146</v>
      </c>
      <c r="F1" s="43" t="s">
        <v>147</v>
      </c>
      <c r="G1" s="161" t="s">
        <v>148</v>
      </c>
    </row>
    <row r="2" ht="15.75" customHeight="1">
      <c r="A2" s="162">
        <v>178.0</v>
      </c>
      <c r="B2" s="163">
        <v>46143.0</v>
      </c>
      <c r="C2" s="164">
        <v>210.0</v>
      </c>
      <c r="D2" s="165" t="s">
        <v>149</v>
      </c>
      <c r="E2" s="43" t="s">
        <v>58</v>
      </c>
      <c r="F2" s="166" t="s">
        <v>127</v>
      </c>
      <c r="G2" s="167">
        <v>106.0</v>
      </c>
    </row>
    <row r="3" ht="15.75" customHeight="1">
      <c r="A3" s="162">
        <v>178.0</v>
      </c>
      <c r="B3" s="163">
        <v>46143.0</v>
      </c>
      <c r="C3" s="164">
        <v>100.0</v>
      </c>
      <c r="D3" s="165" t="s">
        <v>150</v>
      </c>
      <c r="E3" s="43" t="s">
        <v>58</v>
      </c>
      <c r="F3" s="166" t="s">
        <v>151</v>
      </c>
      <c r="G3" s="167">
        <v>107.0</v>
      </c>
    </row>
    <row r="4" ht="15.75" hidden="1" customHeight="1">
      <c r="A4" s="168">
        <v>176.0</v>
      </c>
      <c r="B4" s="169">
        <v>46147.0</v>
      </c>
      <c r="C4" s="170">
        <v>380.0</v>
      </c>
      <c r="D4" s="43" t="s">
        <v>152</v>
      </c>
      <c r="E4" s="43" t="s">
        <v>57</v>
      </c>
      <c r="F4" s="43" t="s">
        <v>68</v>
      </c>
      <c r="G4" s="161" t="s">
        <v>153</v>
      </c>
    </row>
    <row r="5" ht="15.75" hidden="1" customHeight="1">
      <c r="A5" s="168">
        <v>176.0</v>
      </c>
      <c r="B5" s="169">
        <v>46162.0</v>
      </c>
      <c r="C5" s="170">
        <v>1950.0</v>
      </c>
      <c r="D5" s="43" t="s">
        <v>152</v>
      </c>
      <c r="E5" s="43" t="s">
        <v>57</v>
      </c>
      <c r="F5" s="43" t="s">
        <v>68</v>
      </c>
      <c r="G5" s="161" t="s">
        <v>154</v>
      </c>
    </row>
    <row r="6" ht="15.75" hidden="1" customHeight="1">
      <c r="A6" s="168">
        <v>176.0</v>
      </c>
      <c r="B6" s="169">
        <v>46148.0</v>
      </c>
      <c r="C6" s="170">
        <v>585.0</v>
      </c>
      <c r="D6" s="43" t="s">
        <v>155</v>
      </c>
      <c r="E6" s="43" t="s">
        <v>57</v>
      </c>
      <c r="F6" s="43" t="s">
        <v>68</v>
      </c>
      <c r="G6" s="161" t="s">
        <v>156</v>
      </c>
    </row>
    <row r="7" ht="15.75" hidden="1" customHeight="1">
      <c r="A7" s="168">
        <v>176.0</v>
      </c>
      <c r="B7" s="169">
        <v>46151.0</v>
      </c>
      <c r="C7" s="170">
        <v>42.0</v>
      </c>
      <c r="D7" s="43" t="s">
        <v>155</v>
      </c>
      <c r="E7" s="43" t="s">
        <v>57</v>
      </c>
      <c r="F7" s="43" t="s">
        <v>68</v>
      </c>
      <c r="G7" s="161" t="s">
        <v>157</v>
      </c>
    </row>
    <row r="8" ht="15.75" hidden="1" customHeight="1">
      <c r="A8" s="171">
        <v>176.0</v>
      </c>
      <c r="B8" s="169">
        <v>46151.0</v>
      </c>
      <c r="C8" s="170">
        <v>42.0</v>
      </c>
      <c r="D8" s="43" t="s">
        <v>155</v>
      </c>
      <c r="E8" s="43" t="s">
        <v>57</v>
      </c>
      <c r="F8" s="43" t="s">
        <v>68</v>
      </c>
      <c r="G8" s="172" t="s">
        <v>157</v>
      </c>
    </row>
    <row r="9" ht="15.75" hidden="1" customHeight="1">
      <c r="A9" s="168">
        <v>176.0</v>
      </c>
      <c r="B9" s="169">
        <v>46160.0</v>
      </c>
      <c r="C9" s="170">
        <v>370.0</v>
      </c>
      <c r="D9" s="43" t="s">
        <v>155</v>
      </c>
      <c r="E9" s="43" t="s">
        <v>57</v>
      </c>
      <c r="F9" s="43" t="s">
        <v>68</v>
      </c>
      <c r="G9" s="161" t="s">
        <v>158</v>
      </c>
    </row>
    <row r="10" ht="15.75" hidden="1" customHeight="1">
      <c r="A10" s="168">
        <v>176.0</v>
      </c>
      <c r="B10" s="169">
        <v>46160.0</v>
      </c>
      <c r="C10" s="170">
        <v>175.26</v>
      </c>
      <c r="D10" s="43" t="s">
        <v>159</v>
      </c>
      <c r="E10" s="43" t="s">
        <v>57</v>
      </c>
      <c r="F10" s="43" t="s">
        <v>79</v>
      </c>
      <c r="G10" s="161" t="s">
        <v>160</v>
      </c>
    </row>
    <row r="11" ht="15.75" hidden="1" customHeight="1">
      <c r="A11" s="171">
        <v>176.0</v>
      </c>
      <c r="B11" s="169">
        <v>46168.0</v>
      </c>
      <c r="C11" s="170">
        <v>113.27</v>
      </c>
      <c r="D11" s="43" t="s">
        <v>161</v>
      </c>
      <c r="E11" s="43" t="s">
        <v>57</v>
      </c>
      <c r="F11" s="43" t="s">
        <v>136</v>
      </c>
      <c r="G11" s="161" t="s">
        <v>162</v>
      </c>
    </row>
    <row r="12" ht="15.75" hidden="1" customHeight="1">
      <c r="A12" s="171">
        <v>176.0</v>
      </c>
      <c r="B12" s="169">
        <v>46168.0</v>
      </c>
      <c r="C12" s="170">
        <v>113.27</v>
      </c>
      <c r="D12" s="43" t="s">
        <v>163</v>
      </c>
      <c r="E12" s="43" t="s">
        <v>57</v>
      </c>
      <c r="F12" s="43" t="s">
        <v>136</v>
      </c>
      <c r="G12" s="172" t="s">
        <v>162</v>
      </c>
    </row>
    <row r="13" ht="15.75" hidden="1" customHeight="1">
      <c r="A13" s="168">
        <v>176.0</v>
      </c>
      <c r="B13" s="169">
        <v>46149.0</v>
      </c>
      <c r="C13" s="170">
        <v>3341.64</v>
      </c>
      <c r="D13" s="43" t="s">
        <v>164</v>
      </c>
      <c r="E13" s="43" t="s">
        <v>57</v>
      </c>
      <c r="F13" s="43" t="s">
        <v>136</v>
      </c>
      <c r="G13" s="161" t="s">
        <v>165</v>
      </c>
    </row>
    <row r="14" ht="15.75" hidden="1" customHeight="1">
      <c r="A14" s="168">
        <v>176.0</v>
      </c>
      <c r="B14" s="169">
        <v>46149.0</v>
      </c>
      <c r="C14" s="170">
        <v>9679.96</v>
      </c>
      <c r="D14" s="43" t="s">
        <v>164</v>
      </c>
      <c r="E14" s="43" t="s">
        <v>57</v>
      </c>
      <c r="F14" s="43" t="s">
        <v>136</v>
      </c>
      <c r="G14" s="161" t="s">
        <v>166</v>
      </c>
    </row>
    <row r="15" ht="15.75" hidden="1" customHeight="1">
      <c r="A15" s="171">
        <v>176.0</v>
      </c>
      <c r="B15" s="169">
        <v>46168.0</v>
      </c>
      <c r="C15" s="170">
        <v>113.27</v>
      </c>
      <c r="D15" s="43" t="s">
        <v>164</v>
      </c>
      <c r="E15" s="43" t="s">
        <v>57</v>
      </c>
      <c r="F15" s="43" t="s">
        <v>136</v>
      </c>
      <c r="G15" s="172" t="s">
        <v>162</v>
      </c>
    </row>
    <row r="16" ht="15.75" hidden="1" customHeight="1">
      <c r="A16" s="168">
        <v>176.0</v>
      </c>
      <c r="B16" s="169">
        <v>46168.0</v>
      </c>
      <c r="C16" s="170">
        <v>1080.27</v>
      </c>
      <c r="D16" s="43" t="s">
        <v>164</v>
      </c>
      <c r="E16" s="43" t="s">
        <v>57</v>
      </c>
      <c r="F16" s="43" t="s">
        <v>136</v>
      </c>
      <c r="G16" s="161" t="s">
        <v>162</v>
      </c>
    </row>
    <row r="17" ht="15.75" hidden="1" customHeight="1">
      <c r="A17" s="168">
        <v>176.0</v>
      </c>
      <c r="B17" s="169">
        <v>46168.0</v>
      </c>
      <c r="C17" s="170">
        <v>2138.31</v>
      </c>
      <c r="D17" s="43" t="s">
        <v>164</v>
      </c>
      <c r="E17" s="43" t="s">
        <v>57</v>
      </c>
      <c r="F17" s="43" t="s">
        <v>136</v>
      </c>
      <c r="G17" s="161" t="s">
        <v>162</v>
      </c>
    </row>
    <row r="18" ht="15.75" hidden="1" customHeight="1">
      <c r="A18" s="168">
        <v>176.0</v>
      </c>
      <c r="B18" s="169">
        <v>46163.0</v>
      </c>
      <c r="C18" s="170">
        <v>280.0</v>
      </c>
      <c r="D18" s="43" t="s">
        <v>167</v>
      </c>
      <c r="E18" s="43" t="s">
        <v>57</v>
      </c>
      <c r="F18" s="43" t="s">
        <v>62</v>
      </c>
      <c r="G18" s="161" t="s">
        <v>168</v>
      </c>
    </row>
    <row r="19" ht="15.75" hidden="1" customHeight="1">
      <c r="A19" s="168">
        <v>176.0</v>
      </c>
      <c r="B19" s="169">
        <v>46156.0</v>
      </c>
      <c r="C19" s="170">
        <v>400.0</v>
      </c>
      <c r="D19" s="43" t="s">
        <v>169</v>
      </c>
      <c r="E19" s="43" t="s">
        <v>57</v>
      </c>
      <c r="F19" s="43" t="s">
        <v>62</v>
      </c>
      <c r="G19" s="161" t="s">
        <v>170</v>
      </c>
    </row>
    <row r="20" ht="15.75" hidden="1" customHeight="1">
      <c r="A20" s="168">
        <v>176.0</v>
      </c>
      <c r="B20" s="169">
        <v>46146.0</v>
      </c>
      <c r="C20" s="170">
        <v>208.98</v>
      </c>
      <c r="D20" s="43" t="s">
        <v>171</v>
      </c>
      <c r="E20" s="43" t="s">
        <v>57</v>
      </c>
      <c r="F20" s="43" t="s">
        <v>62</v>
      </c>
      <c r="G20" s="161" t="s">
        <v>168</v>
      </c>
    </row>
    <row r="21" ht="15.75" hidden="1" customHeight="1">
      <c r="A21" s="168">
        <v>176.0</v>
      </c>
      <c r="B21" s="169">
        <v>46156.0</v>
      </c>
      <c r="C21" s="170">
        <v>599.1</v>
      </c>
      <c r="D21" s="43" t="s">
        <v>172</v>
      </c>
      <c r="E21" s="43" t="s">
        <v>57</v>
      </c>
      <c r="F21" s="43" t="s">
        <v>62</v>
      </c>
      <c r="G21" s="161" t="s">
        <v>168</v>
      </c>
    </row>
    <row r="22" ht="15.75" hidden="1" customHeight="1">
      <c r="A22" s="168">
        <v>176.0</v>
      </c>
      <c r="B22" s="169">
        <v>46163.0</v>
      </c>
      <c r="C22" s="170">
        <v>521.4</v>
      </c>
      <c r="D22" s="43" t="s">
        <v>172</v>
      </c>
      <c r="E22" s="43" t="s">
        <v>57</v>
      </c>
      <c r="F22" s="43" t="s">
        <v>62</v>
      </c>
      <c r="G22" s="161" t="s">
        <v>173</v>
      </c>
    </row>
    <row r="23" ht="15.75" hidden="1" customHeight="1">
      <c r="A23" s="168">
        <v>176.0</v>
      </c>
      <c r="B23" s="169">
        <v>46162.0</v>
      </c>
      <c r="C23" s="170">
        <v>4650.0</v>
      </c>
      <c r="D23" s="43" t="s">
        <v>174</v>
      </c>
      <c r="E23" s="43" t="s">
        <v>57</v>
      </c>
      <c r="F23" s="43" t="s">
        <v>62</v>
      </c>
      <c r="G23" s="161" t="s">
        <v>154</v>
      </c>
    </row>
    <row r="24" ht="15.75" hidden="1" customHeight="1">
      <c r="A24" s="168">
        <v>176.0</v>
      </c>
      <c r="B24" s="169">
        <v>46151.0</v>
      </c>
      <c r="C24" s="170">
        <v>299.88</v>
      </c>
      <c r="D24" s="43" t="s">
        <v>175</v>
      </c>
      <c r="E24" s="43" t="s">
        <v>57</v>
      </c>
      <c r="F24" s="43" t="s">
        <v>62</v>
      </c>
      <c r="G24" s="161" t="s">
        <v>176</v>
      </c>
    </row>
    <row r="25" ht="15.75" hidden="1" customHeight="1">
      <c r="A25" s="168">
        <v>176.0</v>
      </c>
      <c r="B25" s="169">
        <v>46158.0</v>
      </c>
      <c r="C25" s="170">
        <v>599.76</v>
      </c>
      <c r="D25" s="43" t="s">
        <v>175</v>
      </c>
      <c r="E25" s="43" t="s">
        <v>57</v>
      </c>
      <c r="F25" s="43" t="s">
        <v>62</v>
      </c>
      <c r="G25" s="161" t="s">
        <v>177</v>
      </c>
    </row>
    <row r="26" ht="15.75" hidden="1" customHeight="1">
      <c r="A26" s="168">
        <v>176.0</v>
      </c>
      <c r="B26" s="169">
        <v>46156.0</v>
      </c>
      <c r="C26" s="170">
        <v>1935.48</v>
      </c>
      <c r="D26" s="43" t="s">
        <v>178</v>
      </c>
      <c r="E26" s="43" t="s">
        <v>57</v>
      </c>
      <c r="F26" s="43" t="s">
        <v>62</v>
      </c>
      <c r="G26" s="161" t="s">
        <v>168</v>
      </c>
    </row>
    <row r="27" ht="15.75" hidden="1" customHeight="1">
      <c r="A27" s="168">
        <v>176.0</v>
      </c>
      <c r="B27" s="169">
        <v>46171.0</v>
      </c>
      <c r="C27" s="170">
        <v>645.94</v>
      </c>
      <c r="D27" s="43" t="s">
        <v>178</v>
      </c>
      <c r="E27" s="43" t="s">
        <v>57</v>
      </c>
      <c r="F27" s="43" t="s">
        <v>62</v>
      </c>
      <c r="G27" s="161" t="s">
        <v>168</v>
      </c>
    </row>
    <row r="28" ht="15.75" hidden="1" customHeight="1">
      <c r="A28" s="168">
        <v>176.0</v>
      </c>
      <c r="B28" s="169">
        <v>46148.0</v>
      </c>
      <c r="C28" s="170">
        <v>899.85</v>
      </c>
      <c r="D28" s="43" t="s">
        <v>179</v>
      </c>
      <c r="E28" s="43" t="s">
        <v>57</v>
      </c>
      <c r="F28" s="43" t="s">
        <v>62</v>
      </c>
      <c r="G28" s="161" t="s">
        <v>168</v>
      </c>
    </row>
    <row r="29" ht="15.75" hidden="1" customHeight="1">
      <c r="A29" s="171">
        <v>176.0</v>
      </c>
      <c r="B29" s="169">
        <v>46148.0</v>
      </c>
      <c r="C29" s="170">
        <v>182.66</v>
      </c>
      <c r="D29" s="43" t="s">
        <v>180</v>
      </c>
      <c r="E29" s="43" t="s">
        <v>57</v>
      </c>
      <c r="F29" s="43" t="s">
        <v>62</v>
      </c>
      <c r="G29" s="173" t="s">
        <v>181</v>
      </c>
    </row>
    <row r="30" ht="15.75" hidden="1" customHeight="1">
      <c r="A30" s="168">
        <v>176.0</v>
      </c>
      <c r="B30" s="169">
        <v>46151.0</v>
      </c>
      <c r="C30" s="170">
        <v>209.27</v>
      </c>
      <c r="D30" s="43" t="s">
        <v>180</v>
      </c>
      <c r="E30" s="43" t="s">
        <v>57</v>
      </c>
      <c r="F30" s="43" t="s">
        <v>62</v>
      </c>
      <c r="G30" s="161" t="s">
        <v>168</v>
      </c>
    </row>
    <row r="31" ht="15.75" hidden="1" customHeight="1">
      <c r="A31" s="168">
        <v>176.0</v>
      </c>
      <c r="B31" s="169">
        <v>46159.0</v>
      </c>
      <c r="C31" s="170">
        <v>354.41</v>
      </c>
      <c r="D31" s="43" t="s">
        <v>180</v>
      </c>
      <c r="E31" s="43" t="s">
        <v>57</v>
      </c>
      <c r="F31" s="43" t="s">
        <v>62</v>
      </c>
      <c r="G31" s="161" t="s">
        <v>182</v>
      </c>
    </row>
    <row r="32" ht="15.75" hidden="1" customHeight="1">
      <c r="A32" s="168">
        <v>176.0</v>
      </c>
      <c r="B32" s="169">
        <v>46153.0</v>
      </c>
      <c r="C32" s="170">
        <v>155.73</v>
      </c>
      <c r="D32" s="43" t="s">
        <v>183</v>
      </c>
      <c r="E32" s="43" t="s">
        <v>57</v>
      </c>
      <c r="F32" s="43" t="s">
        <v>65</v>
      </c>
      <c r="G32" s="161" t="s">
        <v>184</v>
      </c>
    </row>
    <row r="33" ht="15.75" hidden="1" customHeight="1">
      <c r="A33" s="171">
        <v>176.0</v>
      </c>
      <c r="B33" s="169">
        <v>46162.0</v>
      </c>
      <c r="C33" s="170">
        <v>155.73</v>
      </c>
      <c r="D33" s="43" t="s">
        <v>183</v>
      </c>
      <c r="E33" s="43" t="s">
        <v>57</v>
      </c>
      <c r="F33" s="43" t="s">
        <v>65</v>
      </c>
      <c r="G33" s="161" t="s">
        <v>185</v>
      </c>
    </row>
    <row r="34" ht="15.75" customHeight="1">
      <c r="A34" s="174">
        <v>178.0</v>
      </c>
      <c r="B34" s="175">
        <v>46146.0</v>
      </c>
      <c r="C34" s="176">
        <v>19.4</v>
      </c>
      <c r="D34" s="177" t="s">
        <v>186</v>
      </c>
      <c r="E34" s="43" t="s">
        <v>57</v>
      </c>
      <c r="F34" s="166" t="s">
        <v>80</v>
      </c>
      <c r="G34" s="178" t="s">
        <v>187</v>
      </c>
    </row>
    <row r="35" ht="15.75" customHeight="1">
      <c r="A35" s="162">
        <v>178.0</v>
      </c>
      <c r="B35" s="163">
        <v>46146.0</v>
      </c>
      <c r="C35" s="164">
        <v>120.0</v>
      </c>
      <c r="D35" s="165" t="s">
        <v>188</v>
      </c>
      <c r="E35" s="43" t="s">
        <v>59</v>
      </c>
      <c r="F35" s="43" t="s">
        <v>151</v>
      </c>
      <c r="G35" s="167">
        <v>416.0</v>
      </c>
    </row>
    <row r="36" ht="15.75" hidden="1" customHeight="1">
      <c r="A36" s="168">
        <v>176.0</v>
      </c>
      <c r="B36" s="169">
        <v>46143.0</v>
      </c>
      <c r="C36" s="170">
        <v>2000.0</v>
      </c>
      <c r="D36" s="43" t="s">
        <v>189</v>
      </c>
      <c r="E36" s="43" t="s">
        <v>57</v>
      </c>
      <c r="F36" s="43" t="s">
        <v>65</v>
      </c>
      <c r="G36" s="161" t="s">
        <v>190</v>
      </c>
    </row>
    <row r="37" ht="15.75" hidden="1" customHeight="1">
      <c r="A37" s="171">
        <v>176.0</v>
      </c>
      <c r="B37" s="169">
        <v>46144.0</v>
      </c>
      <c r="C37" s="170">
        <v>69.86</v>
      </c>
      <c r="D37" s="43" t="s">
        <v>189</v>
      </c>
      <c r="E37" s="43" t="s">
        <v>57</v>
      </c>
      <c r="F37" s="43" t="s">
        <v>65</v>
      </c>
      <c r="G37" s="172" t="s">
        <v>191</v>
      </c>
    </row>
    <row r="38" ht="15.75" customHeight="1">
      <c r="A38" s="162">
        <v>178.0</v>
      </c>
      <c r="B38" s="163">
        <v>46146.0</v>
      </c>
      <c r="C38" s="164">
        <v>109.4</v>
      </c>
      <c r="D38" s="165" t="s">
        <v>192</v>
      </c>
      <c r="E38" s="43" t="s">
        <v>58</v>
      </c>
      <c r="F38" s="166" t="s">
        <v>73</v>
      </c>
      <c r="G38" s="178" t="s">
        <v>193</v>
      </c>
    </row>
    <row r="39" ht="15.75" hidden="1" customHeight="1">
      <c r="A39" s="168">
        <v>176.0</v>
      </c>
      <c r="B39" s="169">
        <v>46144.0</v>
      </c>
      <c r="C39" s="170">
        <v>225.41</v>
      </c>
      <c r="D39" s="43" t="s">
        <v>189</v>
      </c>
      <c r="E39" s="43" t="s">
        <v>57</v>
      </c>
      <c r="F39" s="43" t="s">
        <v>65</v>
      </c>
      <c r="G39" s="161" t="s">
        <v>194</v>
      </c>
    </row>
    <row r="40" ht="15.75" customHeight="1">
      <c r="A40" s="162">
        <v>178.0</v>
      </c>
      <c r="B40" s="163">
        <v>46146.0</v>
      </c>
      <c r="C40" s="164">
        <v>1340.0</v>
      </c>
      <c r="D40" s="165" t="s">
        <v>195</v>
      </c>
      <c r="E40" s="43" t="s">
        <v>58</v>
      </c>
      <c r="F40" s="166" t="s">
        <v>68</v>
      </c>
      <c r="G40" s="167">
        <v>405.0</v>
      </c>
    </row>
    <row r="41" ht="15.75" customHeight="1">
      <c r="A41" s="162">
        <v>178.0</v>
      </c>
      <c r="B41" s="163">
        <v>46146.0</v>
      </c>
      <c r="C41" s="164">
        <v>195.0</v>
      </c>
      <c r="D41" s="165" t="s">
        <v>196</v>
      </c>
      <c r="E41" s="43" t="s">
        <v>58</v>
      </c>
      <c r="F41" s="166" t="s">
        <v>73</v>
      </c>
      <c r="G41" s="167">
        <v>405.0</v>
      </c>
    </row>
    <row r="42" ht="15.75" hidden="1" customHeight="1">
      <c r="A42" s="168">
        <v>176.0</v>
      </c>
      <c r="B42" s="169">
        <v>46149.0</v>
      </c>
      <c r="C42" s="170">
        <v>1595.2</v>
      </c>
      <c r="D42" s="43" t="s">
        <v>189</v>
      </c>
      <c r="E42" s="43" t="s">
        <v>57</v>
      </c>
      <c r="F42" s="43" t="s">
        <v>65</v>
      </c>
      <c r="G42" s="161" t="s">
        <v>197</v>
      </c>
    </row>
    <row r="43" ht="15.75" hidden="1" customHeight="1">
      <c r="A43" s="168">
        <v>176.0</v>
      </c>
      <c r="B43" s="169">
        <v>46154.0</v>
      </c>
      <c r="C43" s="170">
        <v>1112.15</v>
      </c>
      <c r="D43" s="43" t="s">
        <v>189</v>
      </c>
      <c r="E43" s="43" t="s">
        <v>57</v>
      </c>
      <c r="F43" s="43" t="s">
        <v>65</v>
      </c>
      <c r="G43" s="161" t="s">
        <v>198</v>
      </c>
    </row>
    <row r="44" ht="15.75" hidden="1" customHeight="1">
      <c r="A44" s="168">
        <v>176.0</v>
      </c>
      <c r="B44" s="169">
        <v>46156.0</v>
      </c>
      <c r="C44" s="170">
        <v>252.92</v>
      </c>
      <c r="D44" s="43" t="s">
        <v>189</v>
      </c>
      <c r="E44" s="43" t="s">
        <v>57</v>
      </c>
      <c r="F44" s="43" t="s">
        <v>65</v>
      </c>
      <c r="G44" s="161" t="s">
        <v>199</v>
      </c>
    </row>
    <row r="45" ht="15.75" hidden="1" customHeight="1">
      <c r="A45" s="168">
        <v>176.0</v>
      </c>
      <c r="B45" s="169">
        <v>46157.0</v>
      </c>
      <c r="C45" s="170">
        <v>179.74</v>
      </c>
      <c r="D45" s="43" t="s">
        <v>189</v>
      </c>
      <c r="E45" s="43" t="s">
        <v>57</v>
      </c>
      <c r="F45" s="43" t="s">
        <v>65</v>
      </c>
      <c r="G45" s="172" t="s">
        <v>200</v>
      </c>
    </row>
    <row r="46" ht="15.75" hidden="1" customHeight="1">
      <c r="A46" s="168">
        <v>176.0</v>
      </c>
      <c r="B46" s="169">
        <v>46163.0</v>
      </c>
      <c r="C46" s="170">
        <v>673.67</v>
      </c>
      <c r="D46" s="43" t="s">
        <v>189</v>
      </c>
      <c r="E46" s="43" t="s">
        <v>57</v>
      </c>
      <c r="F46" s="43" t="s">
        <v>65</v>
      </c>
      <c r="G46" s="161" t="s">
        <v>201</v>
      </c>
    </row>
    <row r="47" ht="15.75" hidden="1" customHeight="1">
      <c r="A47" s="168">
        <v>176.0</v>
      </c>
      <c r="B47" s="169">
        <v>46170.0</v>
      </c>
      <c r="C47" s="170">
        <v>232.91</v>
      </c>
      <c r="D47" s="43" t="s">
        <v>189</v>
      </c>
      <c r="E47" s="43" t="s">
        <v>57</v>
      </c>
      <c r="F47" s="43" t="s">
        <v>65</v>
      </c>
      <c r="G47" s="161" t="s">
        <v>202</v>
      </c>
    </row>
    <row r="48" ht="15.75" hidden="1" customHeight="1">
      <c r="A48" s="171">
        <v>176.0</v>
      </c>
      <c r="B48" s="169">
        <v>46147.0</v>
      </c>
      <c r="C48" s="170">
        <v>49.8</v>
      </c>
      <c r="D48" s="43" t="s">
        <v>203</v>
      </c>
      <c r="E48" s="43" t="s">
        <v>57</v>
      </c>
      <c r="F48" s="43" t="s">
        <v>65</v>
      </c>
      <c r="G48" s="172" t="s">
        <v>204</v>
      </c>
    </row>
    <row r="49" ht="15.75" hidden="1" customHeight="1">
      <c r="A49" s="168">
        <v>176.0</v>
      </c>
      <c r="B49" s="169">
        <v>46151.0</v>
      </c>
      <c r="C49" s="170">
        <v>9.2</v>
      </c>
      <c r="D49" s="43" t="s">
        <v>203</v>
      </c>
      <c r="E49" s="43" t="s">
        <v>57</v>
      </c>
      <c r="F49" s="43" t="s">
        <v>65</v>
      </c>
      <c r="G49" s="161" t="s">
        <v>205</v>
      </c>
    </row>
    <row r="50" ht="15.75" hidden="1" customHeight="1">
      <c r="A50" s="171">
        <v>176.0</v>
      </c>
      <c r="B50" s="169">
        <v>46162.0</v>
      </c>
      <c r="C50" s="170">
        <v>53.6</v>
      </c>
      <c r="D50" s="43" t="s">
        <v>203</v>
      </c>
      <c r="E50" s="43" t="s">
        <v>57</v>
      </c>
      <c r="F50" s="43" t="s">
        <v>65</v>
      </c>
      <c r="G50" s="172" t="s">
        <v>206</v>
      </c>
    </row>
    <row r="51" ht="15.75" hidden="1" customHeight="1">
      <c r="A51" s="171">
        <v>176.0</v>
      </c>
      <c r="B51" s="169">
        <v>46164.0</v>
      </c>
      <c r="C51" s="170">
        <v>78.0</v>
      </c>
      <c r="D51" s="43" t="s">
        <v>203</v>
      </c>
      <c r="E51" s="43" t="s">
        <v>57</v>
      </c>
      <c r="F51" s="43" t="s">
        <v>65</v>
      </c>
      <c r="G51" s="172" t="s">
        <v>207</v>
      </c>
    </row>
    <row r="52" ht="15.75" hidden="1" customHeight="1">
      <c r="A52" s="171">
        <v>176.0</v>
      </c>
      <c r="B52" s="169">
        <v>46171.0</v>
      </c>
      <c r="C52" s="170">
        <v>52.0</v>
      </c>
      <c r="D52" s="43" t="s">
        <v>203</v>
      </c>
      <c r="E52" s="43" t="s">
        <v>57</v>
      </c>
      <c r="F52" s="43" t="s">
        <v>65</v>
      </c>
      <c r="G52" s="172" t="s">
        <v>208</v>
      </c>
    </row>
    <row r="53" ht="15.75" hidden="1" customHeight="1">
      <c r="A53" s="168">
        <v>176.0</v>
      </c>
      <c r="B53" s="169">
        <v>46159.0</v>
      </c>
      <c r="C53" s="170">
        <v>26.16</v>
      </c>
      <c r="D53" s="43" t="s">
        <v>209</v>
      </c>
      <c r="E53" s="43" t="s">
        <v>57</v>
      </c>
      <c r="F53" s="43" t="s">
        <v>65</v>
      </c>
      <c r="G53" s="172" t="s">
        <v>210</v>
      </c>
    </row>
    <row r="54" ht="15.75" hidden="1" customHeight="1">
      <c r="A54" s="168">
        <v>176.0</v>
      </c>
      <c r="B54" s="169">
        <v>46154.0</v>
      </c>
      <c r="C54" s="170">
        <v>798.66</v>
      </c>
      <c r="D54" s="43" t="s">
        <v>211</v>
      </c>
      <c r="E54" s="43" t="s">
        <v>57</v>
      </c>
      <c r="F54" s="43" t="s">
        <v>65</v>
      </c>
      <c r="G54" s="161" t="s">
        <v>212</v>
      </c>
    </row>
    <row r="55" ht="15.75" hidden="1" customHeight="1">
      <c r="A55" s="171">
        <v>176.0</v>
      </c>
      <c r="B55" s="169">
        <v>46149.0</v>
      </c>
      <c r="C55" s="170">
        <v>143.4</v>
      </c>
      <c r="D55" s="43" t="s">
        <v>213</v>
      </c>
      <c r="E55" s="43" t="s">
        <v>57</v>
      </c>
      <c r="F55" s="43" t="s">
        <v>65</v>
      </c>
      <c r="G55" s="172" t="s">
        <v>214</v>
      </c>
    </row>
    <row r="56" ht="15.75" hidden="1" customHeight="1">
      <c r="A56" s="168">
        <v>176.0</v>
      </c>
      <c r="B56" s="169">
        <v>46153.0</v>
      </c>
      <c r="C56" s="170">
        <v>943.89</v>
      </c>
      <c r="D56" s="43" t="s">
        <v>215</v>
      </c>
      <c r="E56" s="43" t="s">
        <v>57</v>
      </c>
      <c r="F56" s="43" t="s">
        <v>65</v>
      </c>
      <c r="G56" s="161" t="s">
        <v>216</v>
      </c>
    </row>
    <row r="57" ht="15.75" hidden="1" customHeight="1">
      <c r="A57" s="168">
        <v>176.0</v>
      </c>
      <c r="B57" s="169">
        <v>46155.0</v>
      </c>
      <c r="C57" s="170">
        <v>762.2</v>
      </c>
      <c r="D57" s="43" t="s">
        <v>215</v>
      </c>
      <c r="E57" s="43" t="s">
        <v>57</v>
      </c>
      <c r="F57" s="43" t="s">
        <v>65</v>
      </c>
      <c r="G57" s="161" t="s">
        <v>217</v>
      </c>
    </row>
    <row r="58" ht="15.75" hidden="1" customHeight="1">
      <c r="A58" s="168">
        <v>176.0</v>
      </c>
      <c r="B58" s="169">
        <v>46157.0</v>
      </c>
      <c r="C58" s="170">
        <v>281.15</v>
      </c>
      <c r="D58" s="43" t="s">
        <v>215</v>
      </c>
      <c r="E58" s="43" t="s">
        <v>57</v>
      </c>
      <c r="F58" s="43" t="s">
        <v>65</v>
      </c>
      <c r="G58" s="161" t="s">
        <v>61</v>
      </c>
    </row>
    <row r="59" ht="15.75" hidden="1" customHeight="1">
      <c r="A59" s="168">
        <v>176.0</v>
      </c>
      <c r="B59" s="169">
        <v>46162.0</v>
      </c>
      <c r="C59" s="170">
        <v>284.5</v>
      </c>
      <c r="D59" s="43" t="s">
        <v>215</v>
      </c>
      <c r="E59" s="43" t="s">
        <v>57</v>
      </c>
      <c r="F59" s="43" t="s">
        <v>65</v>
      </c>
      <c r="G59" s="161" t="s">
        <v>218</v>
      </c>
    </row>
    <row r="60" ht="15.75" hidden="1" customHeight="1">
      <c r="A60" s="168">
        <v>176.0</v>
      </c>
      <c r="B60" s="169">
        <v>46170.0</v>
      </c>
      <c r="C60" s="170">
        <v>257.92</v>
      </c>
      <c r="D60" s="43" t="s">
        <v>215</v>
      </c>
      <c r="E60" s="43" t="s">
        <v>57</v>
      </c>
      <c r="F60" s="43" t="s">
        <v>65</v>
      </c>
      <c r="G60" s="161" t="s">
        <v>219</v>
      </c>
    </row>
    <row r="61" ht="15.75" hidden="1" customHeight="1">
      <c r="A61" s="168">
        <v>176.0</v>
      </c>
      <c r="B61" s="169">
        <v>46171.0</v>
      </c>
      <c r="C61" s="170">
        <v>131.99</v>
      </c>
      <c r="D61" s="43" t="s">
        <v>215</v>
      </c>
      <c r="E61" s="43" t="s">
        <v>57</v>
      </c>
      <c r="F61" s="43" t="s">
        <v>65</v>
      </c>
      <c r="G61" s="161" t="s">
        <v>220</v>
      </c>
    </row>
    <row r="62" ht="15.75" hidden="1" customHeight="1">
      <c r="A62" s="171">
        <v>176.0</v>
      </c>
      <c r="B62" s="169">
        <v>46144.0</v>
      </c>
      <c r="C62" s="170">
        <v>11.23</v>
      </c>
      <c r="D62" s="43" t="s">
        <v>221</v>
      </c>
      <c r="E62" s="43" t="s">
        <v>57</v>
      </c>
      <c r="F62" s="43" t="s">
        <v>65</v>
      </c>
      <c r="G62" s="161" t="s">
        <v>222</v>
      </c>
    </row>
    <row r="63" ht="15.75" hidden="1" customHeight="1">
      <c r="A63" s="171">
        <v>176.0</v>
      </c>
      <c r="B63" s="169">
        <v>46151.0</v>
      </c>
      <c r="C63" s="170">
        <v>46.55</v>
      </c>
      <c r="D63" s="43" t="s">
        <v>221</v>
      </c>
      <c r="E63" s="43" t="s">
        <v>57</v>
      </c>
      <c r="F63" s="43" t="s">
        <v>65</v>
      </c>
      <c r="G63" s="173" t="s">
        <v>223</v>
      </c>
    </row>
    <row r="64" ht="15.75" hidden="1" customHeight="1">
      <c r="A64" s="168">
        <v>176.0</v>
      </c>
      <c r="B64" s="169">
        <v>46158.0</v>
      </c>
      <c r="C64" s="170">
        <v>685.91</v>
      </c>
      <c r="D64" s="43" t="s">
        <v>221</v>
      </c>
      <c r="E64" s="43" t="s">
        <v>57</v>
      </c>
      <c r="F64" s="43" t="s">
        <v>65</v>
      </c>
      <c r="G64" s="161" t="s">
        <v>168</v>
      </c>
    </row>
    <row r="65" ht="15.75" hidden="1" customHeight="1">
      <c r="A65" s="171">
        <v>176.0</v>
      </c>
      <c r="B65" s="169">
        <v>46147.0</v>
      </c>
      <c r="C65" s="170">
        <v>33.5</v>
      </c>
      <c r="D65" s="43" t="s">
        <v>224</v>
      </c>
      <c r="E65" s="43" t="s">
        <v>57</v>
      </c>
      <c r="F65" s="43" t="s">
        <v>65</v>
      </c>
      <c r="G65" s="161" t="s">
        <v>204</v>
      </c>
    </row>
    <row r="66" ht="15.75" hidden="1" customHeight="1">
      <c r="A66" s="171">
        <v>176.0</v>
      </c>
      <c r="B66" s="169">
        <v>46144.0</v>
      </c>
      <c r="C66" s="170">
        <v>119.0</v>
      </c>
      <c r="D66" s="43" t="s">
        <v>225</v>
      </c>
      <c r="E66" s="43" t="s">
        <v>57</v>
      </c>
      <c r="F66" s="43" t="s">
        <v>65</v>
      </c>
      <c r="G66" s="161" t="s">
        <v>226</v>
      </c>
    </row>
    <row r="67" ht="15.75" hidden="1" customHeight="1">
      <c r="A67" s="168">
        <v>176.0</v>
      </c>
      <c r="B67" s="169">
        <v>46148.0</v>
      </c>
      <c r="C67" s="170">
        <v>149.0</v>
      </c>
      <c r="D67" s="43" t="s">
        <v>225</v>
      </c>
      <c r="E67" s="43" t="s">
        <v>57</v>
      </c>
      <c r="F67" s="43" t="s">
        <v>65</v>
      </c>
      <c r="G67" s="161" t="s">
        <v>227</v>
      </c>
    </row>
    <row r="68" ht="15.75" hidden="1" customHeight="1">
      <c r="A68" s="171">
        <v>176.0</v>
      </c>
      <c r="B68" s="169">
        <v>46150.0</v>
      </c>
      <c r="C68" s="170">
        <v>68.63</v>
      </c>
      <c r="D68" s="43" t="s">
        <v>228</v>
      </c>
      <c r="E68" s="43" t="s">
        <v>57</v>
      </c>
      <c r="F68" s="43" t="s">
        <v>65</v>
      </c>
      <c r="G68" s="161" t="s">
        <v>229</v>
      </c>
    </row>
    <row r="69" ht="15.75" hidden="1" customHeight="1">
      <c r="A69" s="171">
        <v>176.0</v>
      </c>
      <c r="B69" s="169">
        <v>46156.0</v>
      </c>
      <c r="C69" s="170">
        <v>82.03</v>
      </c>
      <c r="D69" s="43" t="s">
        <v>230</v>
      </c>
      <c r="E69" s="43" t="s">
        <v>57</v>
      </c>
      <c r="F69" s="43" t="s">
        <v>65</v>
      </c>
      <c r="G69" s="161" t="s">
        <v>231</v>
      </c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ht="15.75" customHeight="1">
      <c r="A70" s="162">
        <v>178.0</v>
      </c>
      <c r="B70" s="163">
        <v>46148.0</v>
      </c>
      <c r="C70" s="164">
        <v>145.5</v>
      </c>
      <c r="D70" s="165" t="s">
        <v>232</v>
      </c>
      <c r="E70" s="43" t="s">
        <v>58</v>
      </c>
      <c r="F70" s="43" t="s">
        <v>124</v>
      </c>
      <c r="G70" s="167">
        <v>608.0</v>
      </c>
    </row>
    <row r="71" ht="15.75" customHeight="1">
      <c r="A71" s="162">
        <v>178.0</v>
      </c>
      <c r="B71" s="163">
        <v>46148.0</v>
      </c>
      <c r="C71" s="164">
        <v>220.0</v>
      </c>
      <c r="D71" s="165" t="s">
        <v>233</v>
      </c>
      <c r="E71" s="43" t="s">
        <v>58</v>
      </c>
      <c r="F71" s="166" t="s">
        <v>127</v>
      </c>
      <c r="G71" s="167">
        <v>610.0</v>
      </c>
    </row>
    <row r="72" ht="15.75" customHeight="1">
      <c r="A72" s="162">
        <v>178.0</v>
      </c>
      <c r="B72" s="163">
        <v>46148.0</v>
      </c>
      <c r="C72" s="164">
        <v>210.0</v>
      </c>
      <c r="D72" s="165" t="s">
        <v>234</v>
      </c>
      <c r="E72" s="43" t="s">
        <v>58</v>
      </c>
      <c r="F72" s="166" t="s">
        <v>127</v>
      </c>
      <c r="G72" s="167">
        <v>611.0</v>
      </c>
    </row>
    <row r="73" ht="15.75" customHeight="1">
      <c r="A73" s="162">
        <v>178.0</v>
      </c>
      <c r="B73" s="163">
        <v>46148.0</v>
      </c>
      <c r="C73" s="164">
        <v>210.0</v>
      </c>
      <c r="D73" s="165" t="s">
        <v>235</v>
      </c>
      <c r="E73" s="43" t="s">
        <v>58</v>
      </c>
      <c r="F73" s="166" t="s">
        <v>127</v>
      </c>
      <c r="G73" s="167">
        <v>612.0</v>
      </c>
    </row>
    <row r="74" ht="15.75" customHeight="1">
      <c r="A74" s="162">
        <v>178.0</v>
      </c>
      <c r="B74" s="163">
        <v>46148.0</v>
      </c>
      <c r="C74" s="164">
        <v>220.0</v>
      </c>
      <c r="D74" s="165" t="s">
        <v>236</v>
      </c>
      <c r="E74" s="43" t="s">
        <v>58</v>
      </c>
      <c r="F74" s="166" t="s">
        <v>127</v>
      </c>
      <c r="G74" s="167">
        <v>613.0</v>
      </c>
    </row>
    <row r="75" ht="15.75" hidden="1" customHeight="1">
      <c r="A75" s="168">
        <v>176.0</v>
      </c>
      <c r="B75" s="169">
        <v>46159.0</v>
      </c>
      <c r="C75" s="170">
        <v>304.96</v>
      </c>
      <c r="D75" s="43" t="s">
        <v>230</v>
      </c>
      <c r="E75" s="43" t="s">
        <v>57</v>
      </c>
      <c r="F75" s="43" t="s">
        <v>65</v>
      </c>
      <c r="G75" s="161" t="s">
        <v>237</v>
      </c>
    </row>
    <row r="76" ht="15.75" hidden="1" customHeight="1">
      <c r="A76" s="171">
        <v>176.0</v>
      </c>
      <c r="B76" s="169">
        <v>46160.0</v>
      </c>
      <c r="C76" s="170">
        <v>104.09</v>
      </c>
      <c r="D76" s="43" t="s">
        <v>230</v>
      </c>
      <c r="E76" s="43" t="s">
        <v>57</v>
      </c>
      <c r="F76" s="43" t="s">
        <v>65</v>
      </c>
      <c r="G76" s="172" t="s">
        <v>218</v>
      </c>
    </row>
    <row r="77" ht="15.75" customHeight="1">
      <c r="A77" s="162">
        <v>178.0</v>
      </c>
      <c r="B77" s="163">
        <v>46148.0</v>
      </c>
      <c r="C77" s="164">
        <v>170.0</v>
      </c>
      <c r="D77" s="165" t="s">
        <v>238</v>
      </c>
      <c r="E77" s="43" t="s">
        <v>59</v>
      </c>
      <c r="F77" s="43" t="s">
        <v>125</v>
      </c>
      <c r="G77" s="167">
        <v>606.0</v>
      </c>
    </row>
    <row r="78" ht="15.75" customHeight="1">
      <c r="A78" s="162">
        <v>178.0</v>
      </c>
      <c r="B78" s="163">
        <v>46148.0</v>
      </c>
      <c r="C78" s="164">
        <v>178.5</v>
      </c>
      <c r="D78" s="165" t="s">
        <v>239</v>
      </c>
      <c r="E78" s="43" t="s">
        <v>59</v>
      </c>
      <c r="F78" s="43" t="s">
        <v>125</v>
      </c>
      <c r="G78" s="167">
        <v>607.0</v>
      </c>
    </row>
    <row r="79" ht="15.75" hidden="1" customHeight="1">
      <c r="A79" s="168">
        <v>176.0</v>
      </c>
      <c r="B79" s="169">
        <v>46162.0</v>
      </c>
      <c r="C79" s="170">
        <v>183.92</v>
      </c>
      <c r="D79" s="43" t="s">
        <v>230</v>
      </c>
      <c r="E79" s="43" t="s">
        <v>57</v>
      </c>
      <c r="F79" s="43" t="s">
        <v>65</v>
      </c>
      <c r="G79" s="173" t="s">
        <v>240</v>
      </c>
    </row>
    <row r="80" ht="15.75" hidden="1" customHeight="1">
      <c r="A80" s="171">
        <v>176.0</v>
      </c>
      <c r="B80" s="169">
        <v>46165.0</v>
      </c>
      <c r="C80" s="170">
        <v>172.8</v>
      </c>
      <c r="D80" s="43" t="s">
        <v>230</v>
      </c>
      <c r="E80" s="43" t="s">
        <v>57</v>
      </c>
      <c r="F80" s="43" t="s">
        <v>65</v>
      </c>
      <c r="G80" s="172" t="s">
        <v>241</v>
      </c>
    </row>
    <row r="81" ht="15.75" hidden="1" customHeight="1">
      <c r="A81" s="168">
        <v>176.0</v>
      </c>
      <c r="B81" s="169">
        <v>46172.0</v>
      </c>
      <c r="C81" s="170">
        <v>253.11</v>
      </c>
      <c r="D81" s="43" t="s">
        <v>230</v>
      </c>
      <c r="E81" s="43" t="s">
        <v>57</v>
      </c>
      <c r="F81" s="43" t="s">
        <v>65</v>
      </c>
      <c r="G81" s="161" t="s">
        <v>242</v>
      </c>
    </row>
    <row r="82" ht="15.75" hidden="1" customHeight="1">
      <c r="A82" s="168">
        <v>176.0</v>
      </c>
      <c r="B82" s="169">
        <v>46173.0</v>
      </c>
      <c r="C82" s="170">
        <v>285.75</v>
      </c>
      <c r="D82" s="43" t="s">
        <v>230</v>
      </c>
      <c r="E82" s="43" t="s">
        <v>57</v>
      </c>
      <c r="F82" s="43" t="s">
        <v>65</v>
      </c>
      <c r="G82" s="161" t="s">
        <v>243</v>
      </c>
    </row>
    <row r="83" ht="15.75" hidden="1" customHeight="1">
      <c r="A83" s="168">
        <v>176.0</v>
      </c>
      <c r="B83" s="169">
        <v>46150.0</v>
      </c>
      <c r="C83" s="170">
        <v>1351.1</v>
      </c>
      <c r="D83" s="43" t="s">
        <v>244</v>
      </c>
      <c r="E83" s="43" t="s">
        <v>57</v>
      </c>
      <c r="F83" s="43" t="s">
        <v>65</v>
      </c>
      <c r="G83" s="161" t="s">
        <v>245</v>
      </c>
    </row>
    <row r="84" ht="15.75" hidden="1" customHeight="1">
      <c r="A84" s="168">
        <v>176.0</v>
      </c>
      <c r="B84" s="169">
        <v>46155.0</v>
      </c>
      <c r="C84" s="170">
        <v>543.5</v>
      </c>
      <c r="D84" s="43" t="s">
        <v>244</v>
      </c>
      <c r="E84" s="43" t="s">
        <v>57</v>
      </c>
      <c r="F84" s="43" t="s">
        <v>65</v>
      </c>
      <c r="G84" s="161" t="s">
        <v>246</v>
      </c>
    </row>
    <row r="85" ht="15.75" hidden="1" customHeight="1">
      <c r="A85" s="168">
        <v>176.0</v>
      </c>
      <c r="B85" s="169">
        <v>46161.0</v>
      </c>
      <c r="C85" s="170">
        <v>1011.61</v>
      </c>
      <c r="D85" s="43" t="s">
        <v>244</v>
      </c>
      <c r="E85" s="43" t="s">
        <v>57</v>
      </c>
      <c r="F85" s="43" t="s">
        <v>65</v>
      </c>
      <c r="G85" s="161" t="s">
        <v>247</v>
      </c>
    </row>
    <row r="86" ht="15.75" hidden="1" customHeight="1">
      <c r="A86" s="168">
        <v>176.0</v>
      </c>
      <c r="B86" s="169">
        <v>46163.0</v>
      </c>
      <c r="C86" s="170">
        <v>602.56</v>
      </c>
      <c r="D86" s="43" t="s">
        <v>244</v>
      </c>
      <c r="E86" s="43" t="s">
        <v>57</v>
      </c>
      <c r="F86" s="43" t="s">
        <v>65</v>
      </c>
      <c r="G86" s="161" t="s">
        <v>248</v>
      </c>
    </row>
    <row r="87" ht="15.75" hidden="1" customHeight="1">
      <c r="A87" s="168">
        <v>176.0</v>
      </c>
      <c r="B87" s="169">
        <v>46172.0</v>
      </c>
      <c r="C87" s="170">
        <v>110.5</v>
      </c>
      <c r="D87" s="43" t="s">
        <v>249</v>
      </c>
      <c r="E87" s="43" t="s">
        <v>57</v>
      </c>
      <c r="F87" s="43" t="s">
        <v>65</v>
      </c>
      <c r="G87" s="161" t="s">
        <v>250</v>
      </c>
    </row>
    <row r="88" ht="15.75" hidden="1" customHeight="1">
      <c r="A88" s="168">
        <v>176.0</v>
      </c>
      <c r="B88" s="169">
        <v>46147.0</v>
      </c>
      <c r="C88" s="170">
        <v>250.0</v>
      </c>
      <c r="D88" s="43" t="s">
        <v>251</v>
      </c>
      <c r="E88" s="43" t="s">
        <v>57</v>
      </c>
      <c r="F88" s="43" t="s">
        <v>65</v>
      </c>
      <c r="G88" s="161" t="s">
        <v>252</v>
      </c>
    </row>
    <row r="89" ht="15.75" hidden="1" customHeight="1">
      <c r="A89" s="168">
        <v>176.0</v>
      </c>
      <c r="B89" s="169">
        <v>46162.0</v>
      </c>
      <c r="C89" s="170">
        <v>250.0</v>
      </c>
      <c r="D89" s="43" t="s">
        <v>251</v>
      </c>
      <c r="E89" s="43" t="s">
        <v>57</v>
      </c>
      <c r="F89" s="43" t="s">
        <v>65</v>
      </c>
      <c r="G89" s="161" t="s">
        <v>252</v>
      </c>
    </row>
    <row r="90" ht="15.75" customHeight="1">
      <c r="A90" s="162">
        <v>178.0</v>
      </c>
      <c r="B90" s="163">
        <v>46148.0</v>
      </c>
      <c r="C90" s="164">
        <v>178.5</v>
      </c>
      <c r="D90" s="165" t="s">
        <v>253</v>
      </c>
      <c r="E90" s="43" t="s">
        <v>58</v>
      </c>
      <c r="F90" s="166" t="s">
        <v>151</v>
      </c>
      <c r="G90" s="167">
        <v>607.0</v>
      </c>
    </row>
    <row r="91" ht="15.75" hidden="1" customHeight="1">
      <c r="A91" s="171">
        <v>176.0</v>
      </c>
      <c r="B91" s="169">
        <v>46148.0</v>
      </c>
      <c r="C91" s="170">
        <v>110.5</v>
      </c>
      <c r="D91" s="43" t="s">
        <v>254</v>
      </c>
      <c r="E91" s="43" t="s">
        <v>57</v>
      </c>
      <c r="F91" s="43" t="s">
        <v>65</v>
      </c>
      <c r="G91" s="161" t="s">
        <v>255</v>
      </c>
    </row>
    <row r="92" ht="15.75" hidden="1" customHeight="1">
      <c r="A92" s="171">
        <v>176.0</v>
      </c>
      <c r="B92" s="169">
        <v>46152.0</v>
      </c>
      <c r="C92" s="170">
        <v>144.5</v>
      </c>
      <c r="D92" s="43" t="s">
        <v>254</v>
      </c>
      <c r="E92" s="43" t="s">
        <v>57</v>
      </c>
      <c r="F92" s="43" t="s">
        <v>65</v>
      </c>
      <c r="G92" s="172" t="s">
        <v>256</v>
      </c>
    </row>
    <row r="93" ht="15.75" hidden="1" customHeight="1">
      <c r="A93" s="171">
        <v>176.0</v>
      </c>
      <c r="B93" s="169">
        <v>46159.0</v>
      </c>
      <c r="C93" s="170">
        <v>127.5</v>
      </c>
      <c r="D93" s="43" t="s">
        <v>254</v>
      </c>
      <c r="E93" s="43" t="s">
        <v>57</v>
      </c>
      <c r="F93" s="43" t="s">
        <v>65</v>
      </c>
      <c r="G93" s="161" t="s">
        <v>257</v>
      </c>
    </row>
    <row r="94" ht="15.75" hidden="1" customHeight="1">
      <c r="A94" s="171">
        <v>176.0</v>
      </c>
      <c r="B94" s="169">
        <v>46149.0</v>
      </c>
      <c r="C94" s="170">
        <v>119.78</v>
      </c>
      <c r="D94" s="43" t="s">
        <v>171</v>
      </c>
      <c r="E94" s="43" t="s">
        <v>57</v>
      </c>
      <c r="F94" s="43" t="s">
        <v>65</v>
      </c>
      <c r="G94" s="173" t="s">
        <v>258</v>
      </c>
    </row>
    <row r="95" ht="15.75" hidden="1" customHeight="1">
      <c r="A95" s="171">
        <v>176.0</v>
      </c>
      <c r="B95" s="169">
        <v>46168.0</v>
      </c>
      <c r="C95" s="170">
        <v>67.66</v>
      </c>
      <c r="D95" s="43" t="s">
        <v>171</v>
      </c>
      <c r="E95" s="43" t="s">
        <v>57</v>
      </c>
      <c r="F95" s="43" t="s">
        <v>65</v>
      </c>
      <c r="G95" s="172" t="s">
        <v>259</v>
      </c>
    </row>
    <row r="96" ht="15.75" hidden="1" customHeight="1">
      <c r="A96" s="168">
        <v>176.0</v>
      </c>
      <c r="B96" s="169">
        <v>46153.0</v>
      </c>
      <c r="C96" s="170">
        <v>315.0</v>
      </c>
      <c r="D96" s="43" t="s">
        <v>260</v>
      </c>
      <c r="E96" s="43" t="s">
        <v>57</v>
      </c>
      <c r="F96" s="43" t="s">
        <v>65</v>
      </c>
      <c r="G96" s="161" t="s">
        <v>261</v>
      </c>
    </row>
    <row r="97" ht="15.75" hidden="1" customHeight="1">
      <c r="A97" s="171">
        <v>176.0</v>
      </c>
      <c r="B97" s="169">
        <v>46160.0</v>
      </c>
      <c r="C97" s="170">
        <v>175.0</v>
      </c>
      <c r="D97" s="43" t="s">
        <v>260</v>
      </c>
      <c r="E97" s="43" t="s">
        <v>57</v>
      </c>
      <c r="F97" s="43" t="s">
        <v>65</v>
      </c>
      <c r="G97" s="161" t="s">
        <v>262</v>
      </c>
    </row>
    <row r="98" ht="15.75" hidden="1" customHeight="1">
      <c r="A98" s="171">
        <v>176.0</v>
      </c>
      <c r="B98" s="169">
        <v>46148.0</v>
      </c>
      <c r="C98" s="170">
        <v>25.98</v>
      </c>
      <c r="D98" s="43" t="s">
        <v>263</v>
      </c>
      <c r="E98" s="43" t="s">
        <v>57</v>
      </c>
      <c r="F98" s="43" t="s">
        <v>65</v>
      </c>
      <c r="G98" s="161" t="s">
        <v>264</v>
      </c>
    </row>
    <row r="99" ht="15.75" hidden="1" customHeight="1">
      <c r="A99" s="168">
        <v>176.0</v>
      </c>
      <c r="B99" s="169">
        <v>46147.0</v>
      </c>
      <c r="C99" s="170">
        <v>30.36</v>
      </c>
      <c r="D99" s="43" t="s">
        <v>265</v>
      </c>
      <c r="E99" s="43" t="s">
        <v>57</v>
      </c>
      <c r="F99" s="43" t="s">
        <v>65</v>
      </c>
      <c r="G99" s="161" t="s">
        <v>266</v>
      </c>
    </row>
    <row r="100" ht="15.75" hidden="1" customHeight="1">
      <c r="A100" s="171">
        <v>176.0</v>
      </c>
      <c r="B100" s="169">
        <v>46146.0</v>
      </c>
      <c r="C100" s="170">
        <v>75.0</v>
      </c>
      <c r="D100" s="43" t="s">
        <v>267</v>
      </c>
      <c r="E100" s="43" t="s">
        <v>57</v>
      </c>
      <c r="F100" s="43" t="s">
        <v>65</v>
      </c>
      <c r="G100" s="172" t="s">
        <v>268</v>
      </c>
    </row>
    <row r="101" ht="15.75" hidden="1" customHeight="1">
      <c r="A101" s="168">
        <v>176.0</v>
      </c>
      <c r="B101" s="169">
        <v>46144.0</v>
      </c>
      <c r="C101" s="170">
        <v>246.93</v>
      </c>
      <c r="D101" s="43" t="s">
        <v>269</v>
      </c>
      <c r="E101" s="43" t="s">
        <v>57</v>
      </c>
      <c r="F101" s="43" t="s">
        <v>65</v>
      </c>
      <c r="G101" s="161" t="s">
        <v>270</v>
      </c>
    </row>
    <row r="102" ht="15.75" hidden="1" customHeight="1">
      <c r="A102" s="168">
        <v>176.0</v>
      </c>
      <c r="B102" s="169">
        <v>46146.0</v>
      </c>
      <c r="C102" s="170">
        <v>1033.89</v>
      </c>
      <c r="D102" s="43" t="s">
        <v>269</v>
      </c>
      <c r="E102" s="43" t="s">
        <v>57</v>
      </c>
      <c r="F102" s="43" t="s">
        <v>65</v>
      </c>
      <c r="G102" s="161" t="s">
        <v>271</v>
      </c>
    </row>
    <row r="103" ht="15.75" hidden="1" customHeight="1">
      <c r="A103" s="168">
        <v>176.0</v>
      </c>
      <c r="B103" s="169">
        <v>46147.0</v>
      </c>
      <c r="C103" s="170">
        <v>475.51</v>
      </c>
      <c r="D103" s="43" t="s">
        <v>269</v>
      </c>
      <c r="E103" s="43" t="s">
        <v>57</v>
      </c>
      <c r="F103" s="43" t="s">
        <v>65</v>
      </c>
      <c r="G103" s="161" t="s">
        <v>272</v>
      </c>
    </row>
    <row r="104" ht="15.75" hidden="1" customHeight="1">
      <c r="A104" s="168">
        <v>176.0</v>
      </c>
      <c r="B104" s="169">
        <v>46150.0</v>
      </c>
      <c r="C104" s="170">
        <v>209.96</v>
      </c>
      <c r="D104" s="43" t="s">
        <v>269</v>
      </c>
      <c r="E104" s="43" t="s">
        <v>57</v>
      </c>
      <c r="F104" s="43" t="s">
        <v>65</v>
      </c>
      <c r="G104" s="161" t="s">
        <v>273</v>
      </c>
    </row>
    <row r="105" ht="15.75" hidden="1" customHeight="1">
      <c r="A105" s="168">
        <v>176.0</v>
      </c>
      <c r="B105" s="169">
        <v>46161.0</v>
      </c>
      <c r="C105" s="170">
        <v>296.54</v>
      </c>
      <c r="D105" s="43" t="s">
        <v>269</v>
      </c>
      <c r="E105" s="43" t="s">
        <v>57</v>
      </c>
      <c r="F105" s="43" t="s">
        <v>65</v>
      </c>
      <c r="G105" s="161" t="s">
        <v>274</v>
      </c>
    </row>
    <row r="106" ht="15.75" hidden="1" customHeight="1">
      <c r="A106" s="171">
        <v>176.0</v>
      </c>
      <c r="B106" s="169">
        <v>46171.0</v>
      </c>
      <c r="C106" s="170">
        <v>89.99</v>
      </c>
      <c r="D106" s="43" t="s">
        <v>269</v>
      </c>
      <c r="E106" s="43" t="s">
        <v>57</v>
      </c>
      <c r="F106" s="43" t="s">
        <v>65</v>
      </c>
      <c r="G106" s="172" t="s">
        <v>275</v>
      </c>
    </row>
    <row r="107" ht="15.75" hidden="1" customHeight="1">
      <c r="A107" s="168">
        <v>176.0</v>
      </c>
      <c r="B107" s="169">
        <v>46146.0</v>
      </c>
      <c r="C107" s="170">
        <v>210.64</v>
      </c>
      <c r="D107" s="43" t="s">
        <v>276</v>
      </c>
      <c r="E107" s="43" t="s">
        <v>57</v>
      </c>
      <c r="F107" s="43" t="s">
        <v>65</v>
      </c>
      <c r="G107" s="161" t="s">
        <v>271</v>
      </c>
    </row>
    <row r="108" ht="15.75" hidden="1" customHeight="1">
      <c r="A108" s="171">
        <v>176.0</v>
      </c>
      <c r="B108" s="169">
        <v>46149.0</v>
      </c>
      <c r="C108" s="170">
        <v>6.15</v>
      </c>
      <c r="D108" s="43" t="s">
        <v>276</v>
      </c>
      <c r="E108" s="43" t="s">
        <v>57</v>
      </c>
      <c r="F108" s="43" t="s">
        <v>65</v>
      </c>
      <c r="G108" s="161" t="s">
        <v>277</v>
      </c>
    </row>
    <row r="109" ht="15.75" hidden="1" customHeight="1">
      <c r="A109" s="171">
        <v>176.0</v>
      </c>
      <c r="B109" s="169">
        <v>46150.0</v>
      </c>
      <c r="C109" s="170">
        <v>23.98</v>
      </c>
      <c r="D109" s="43" t="s">
        <v>276</v>
      </c>
      <c r="E109" s="43" t="s">
        <v>57</v>
      </c>
      <c r="F109" s="43" t="s">
        <v>65</v>
      </c>
      <c r="G109" s="161" t="s">
        <v>278</v>
      </c>
    </row>
    <row r="110" ht="15.75" hidden="1" customHeight="1">
      <c r="A110" s="168">
        <v>176.0</v>
      </c>
      <c r="B110" s="169">
        <v>46150.0</v>
      </c>
      <c r="C110" s="170">
        <v>250.55</v>
      </c>
      <c r="D110" s="43" t="s">
        <v>276</v>
      </c>
      <c r="E110" s="43" t="s">
        <v>57</v>
      </c>
      <c r="F110" s="43" t="s">
        <v>65</v>
      </c>
      <c r="G110" s="161" t="s">
        <v>273</v>
      </c>
    </row>
    <row r="111" ht="15.75" hidden="1" customHeight="1">
      <c r="A111" s="171">
        <v>176.0</v>
      </c>
      <c r="B111" s="169">
        <v>46151.0</v>
      </c>
      <c r="C111" s="170">
        <v>9.68</v>
      </c>
      <c r="D111" s="43" t="s">
        <v>276</v>
      </c>
      <c r="E111" s="43" t="s">
        <v>57</v>
      </c>
      <c r="F111" s="43" t="s">
        <v>65</v>
      </c>
      <c r="G111" s="161" t="s">
        <v>279</v>
      </c>
    </row>
    <row r="112" ht="15.75" hidden="1" customHeight="1">
      <c r="A112" s="171">
        <v>176.0</v>
      </c>
      <c r="B112" s="169">
        <v>46151.0</v>
      </c>
      <c r="C112" s="170">
        <v>22.96</v>
      </c>
      <c r="D112" s="43" t="s">
        <v>276</v>
      </c>
      <c r="E112" s="43" t="s">
        <v>57</v>
      </c>
      <c r="F112" s="43" t="s">
        <v>65</v>
      </c>
      <c r="G112" s="172" t="s">
        <v>280</v>
      </c>
    </row>
    <row r="113" ht="15.75" hidden="1" customHeight="1">
      <c r="A113" s="171">
        <v>176.0</v>
      </c>
      <c r="B113" s="169">
        <v>46162.0</v>
      </c>
      <c r="C113" s="170">
        <v>58.09</v>
      </c>
      <c r="D113" s="43" t="s">
        <v>276</v>
      </c>
      <c r="E113" s="43" t="s">
        <v>57</v>
      </c>
      <c r="F113" s="43" t="s">
        <v>65</v>
      </c>
      <c r="G113" s="172" t="s">
        <v>281</v>
      </c>
    </row>
    <row r="114" ht="15.75" hidden="1" customHeight="1">
      <c r="A114" s="171">
        <v>176.0</v>
      </c>
      <c r="B114" s="169">
        <v>46163.0</v>
      </c>
      <c r="C114" s="170">
        <v>13.97</v>
      </c>
      <c r="D114" s="43" t="s">
        <v>276</v>
      </c>
      <c r="E114" s="43" t="s">
        <v>57</v>
      </c>
      <c r="F114" s="43" t="s">
        <v>65</v>
      </c>
      <c r="G114" s="173" t="s">
        <v>282</v>
      </c>
    </row>
    <row r="115" ht="15.75" hidden="1" customHeight="1">
      <c r="A115" s="171">
        <v>176.0</v>
      </c>
      <c r="B115" s="169">
        <v>46163.0</v>
      </c>
      <c r="C115" s="170">
        <v>23.93</v>
      </c>
      <c r="D115" s="43" t="s">
        <v>276</v>
      </c>
      <c r="E115" s="43" t="s">
        <v>57</v>
      </c>
      <c r="F115" s="43" t="s">
        <v>65</v>
      </c>
      <c r="G115" s="161" t="s">
        <v>283</v>
      </c>
    </row>
    <row r="116" ht="15.75" hidden="1" customHeight="1">
      <c r="A116" s="171">
        <v>176.0</v>
      </c>
      <c r="B116" s="169">
        <v>46163.0</v>
      </c>
      <c r="C116" s="170">
        <v>65.24</v>
      </c>
      <c r="D116" s="43" t="s">
        <v>276</v>
      </c>
      <c r="E116" s="43" t="s">
        <v>57</v>
      </c>
      <c r="F116" s="43" t="s">
        <v>65</v>
      </c>
      <c r="G116" s="172" t="s">
        <v>284</v>
      </c>
    </row>
    <row r="117" ht="15.75" hidden="1" customHeight="1">
      <c r="A117" s="171">
        <v>176.0</v>
      </c>
      <c r="B117" s="169">
        <v>46164.0</v>
      </c>
      <c r="C117" s="170">
        <v>4.99</v>
      </c>
      <c r="D117" s="43" t="s">
        <v>276</v>
      </c>
      <c r="E117" s="43" t="s">
        <v>57</v>
      </c>
      <c r="F117" s="43" t="s">
        <v>65</v>
      </c>
      <c r="G117" s="172" t="s">
        <v>282</v>
      </c>
    </row>
    <row r="118" ht="15.75" hidden="1" customHeight="1">
      <c r="A118" s="171">
        <v>176.0</v>
      </c>
      <c r="B118" s="169">
        <v>46165.0</v>
      </c>
      <c r="C118" s="170">
        <v>27.5</v>
      </c>
      <c r="D118" s="43" t="s">
        <v>276</v>
      </c>
      <c r="E118" s="43" t="s">
        <v>57</v>
      </c>
      <c r="F118" s="43" t="s">
        <v>65</v>
      </c>
      <c r="G118" s="161" t="s">
        <v>285</v>
      </c>
    </row>
    <row r="119" ht="15.75" hidden="1" customHeight="1">
      <c r="A119" s="171">
        <v>176.0</v>
      </c>
      <c r="B119" s="169">
        <v>46168.0</v>
      </c>
      <c r="C119" s="170">
        <v>26.23</v>
      </c>
      <c r="D119" s="43" t="s">
        <v>276</v>
      </c>
      <c r="E119" s="43" t="s">
        <v>57</v>
      </c>
      <c r="F119" s="43" t="s">
        <v>65</v>
      </c>
      <c r="G119" s="161" t="s">
        <v>286</v>
      </c>
    </row>
    <row r="120" ht="15.75" hidden="1" customHeight="1">
      <c r="A120" s="171">
        <v>176.0</v>
      </c>
      <c r="B120" s="169">
        <v>46171.0</v>
      </c>
      <c r="C120" s="170">
        <v>91.34</v>
      </c>
      <c r="D120" s="43" t="s">
        <v>276</v>
      </c>
      <c r="E120" s="43" t="s">
        <v>57</v>
      </c>
      <c r="F120" s="43" t="s">
        <v>65</v>
      </c>
      <c r="G120" s="172" t="s">
        <v>287</v>
      </c>
    </row>
    <row r="121" ht="15.75" hidden="1" customHeight="1">
      <c r="A121" s="171">
        <v>176.0</v>
      </c>
      <c r="B121" s="169">
        <v>46173.0</v>
      </c>
      <c r="C121" s="170">
        <v>137.89</v>
      </c>
      <c r="D121" s="43" t="s">
        <v>276</v>
      </c>
      <c r="E121" s="43" t="s">
        <v>57</v>
      </c>
      <c r="F121" s="43" t="s">
        <v>65</v>
      </c>
      <c r="G121" s="172" t="s">
        <v>243</v>
      </c>
    </row>
    <row r="122" ht="15.75" hidden="1" customHeight="1">
      <c r="A122" s="168">
        <v>176.0</v>
      </c>
      <c r="B122" s="169">
        <v>46143.0</v>
      </c>
      <c r="C122" s="170">
        <v>26.21</v>
      </c>
      <c r="D122" s="43" t="s">
        <v>288</v>
      </c>
      <c r="E122" s="43" t="s">
        <v>57</v>
      </c>
      <c r="F122" s="43" t="s">
        <v>65</v>
      </c>
      <c r="G122" s="161" t="s">
        <v>289</v>
      </c>
    </row>
    <row r="123" ht="15.75" hidden="1" customHeight="1">
      <c r="A123" s="171">
        <v>176.0</v>
      </c>
      <c r="B123" s="169">
        <v>46143.0</v>
      </c>
      <c r="C123" s="170">
        <v>106.64</v>
      </c>
      <c r="D123" s="43" t="s">
        <v>288</v>
      </c>
      <c r="E123" s="43" t="s">
        <v>57</v>
      </c>
      <c r="F123" s="43" t="s">
        <v>65</v>
      </c>
      <c r="G123" s="172" t="s">
        <v>290</v>
      </c>
    </row>
    <row r="124" ht="15.75" hidden="1" customHeight="1">
      <c r="A124" s="171">
        <v>176.0</v>
      </c>
      <c r="B124" s="169">
        <v>46144.0</v>
      </c>
      <c r="C124" s="170">
        <v>17.0</v>
      </c>
      <c r="D124" s="43" t="s">
        <v>288</v>
      </c>
      <c r="E124" s="43" t="s">
        <v>57</v>
      </c>
      <c r="F124" s="43" t="s">
        <v>65</v>
      </c>
      <c r="G124" s="180" t="s">
        <v>291</v>
      </c>
    </row>
    <row r="125" ht="15.75" customHeight="1">
      <c r="A125" s="162">
        <v>178.0</v>
      </c>
      <c r="B125" s="163">
        <v>46149.0</v>
      </c>
      <c r="C125" s="164">
        <v>3335.94</v>
      </c>
      <c r="D125" s="165" t="s">
        <v>292</v>
      </c>
      <c r="E125" s="43" t="s">
        <v>58</v>
      </c>
      <c r="F125" s="43" t="s">
        <v>293</v>
      </c>
      <c r="G125" s="181">
        <v>909990.0</v>
      </c>
    </row>
    <row r="126" ht="15.75" hidden="1" customHeight="1">
      <c r="A126" s="171">
        <v>176.0</v>
      </c>
      <c r="B126" s="169">
        <v>46144.0</v>
      </c>
      <c r="C126" s="170">
        <v>56.04</v>
      </c>
      <c r="D126" s="43" t="s">
        <v>288</v>
      </c>
      <c r="E126" s="43" t="s">
        <v>57</v>
      </c>
      <c r="F126" s="43" t="s">
        <v>65</v>
      </c>
      <c r="G126" s="172" t="s">
        <v>294</v>
      </c>
    </row>
    <row r="127" ht="15.75" hidden="1" customHeight="1">
      <c r="A127" s="168">
        <v>176.0</v>
      </c>
      <c r="B127" s="169">
        <v>46144.0</v>
      </c>
      <c r="C127" s="170">
        <v>613.9</v>
      </c>
      <c r="D127" s="43" t="s">
        <v>288</v>
      </c>
      <c r="E127" s="43" t="s">
        <v>57</v>
      </c>
      <c r="F127" s="43" t="s">
        <v>65</v>
      </c>
      <c r="G127" s="161" t="s">
        <v>295</v>
      </c>
    </row>
    <row r="128" ht="15.75" hidden="1" customHeight="1">
      <c r="A128" s="168">
        <v>176.0</v>
      </c>
      <c r="B128" s="169">
        <v>46145.0</v>
      </c>
      <c r="C128" s="170">
        <v>181.93</v>
      </c>
      <c r="D128" s="43" t="s">
        <v>288</v>
      </c>
      <c r="E128" s="43" t="s">
        <v>57</v>
      </c>
      <c r="F128" s="43" t="s">
        <v>65</v>
      </c>
      <c r="G128" s="161" t="s">
        <v>271</v>
      </c>
    </row>
    <row r="129" ht="15.75" hidden="1" customHeight="1">
      <c r="A129" s="168">
        <v>176.0</v>
      </c>
      <c r="B129" s="169">
        <v>46145.0</v>
      </c>
      <c r="C129" s="170">
        <v>358.13</v>
      </c>
      <c r="D129" s="43" t="s">
        <v>288</v>
      </c>
      <c r="E129" s="43" t="s">
        <v>57</v>
      </c>
      <c r="F129" s="43" t="s">
        <v>65</v>
      </c>
      <c r="G129" s="161" t="s">
        <v>296</v>
      </c>
    </row>
    <row r="130" ht="15.75" hidden="1" customHeight="1">
      <c r="A130" s="168">
        <v>176.0</v>
      </c>
      <c r="B130" s="169">
        <v>46146.0</v>
      </c>
      <c r="C130" s="170">
        <v>652.35</v>
      </c>
      <c r="D130" s="43" t="s">
        <v>288</v>
      </c>
      <c r="E130" s="43" t="s">
        <v>57</v>
      </c>
      <c r="F130" s="43" t="s">
        <v>65</v>
      </c>
      <c r="G130" s="161" t="s">
        <v>271</v>
      </c>
    </row>
    <row r="131" ht="15.75" customHeight="1">
      <c r="A131" s="162">
        <v>178.0</v>
      </c>
      <c r="B131" s="163">
        <v>46149.0</v>
      </c>
      <c r="C131" s="164">
        <v>5315.62</v>
      </c>
      <c r="D131" s="165" t="s">
        <v>297</v>
      </c>
      <c r="E131" s="43" t="s">
        <v>58</v>
      </c>
      <c r="F131" s="166" t="s">
        <v>293</v>
      </c>
      <c r="G131" s="182">
        <v>75001.0</v>
      </c>
    </row>
    <row r="132" ht="15.75" hidden="1" customHeight="1">
      <c r="A132" s="171">
        <v>176.0</v>
      </c>
      <c r="B132" s="169">
        <v>46147.0</v>
      </c>
      <c r="C132" s="170">
        <v>32.94</v>
      </c>
      <c r="D132" s="43" t="s">
        <v>288</v>
      </c>
      <c r="E132" s="43" t="s">
        <v>57</v>
      </c>
      <c r="F132" s="43" t="s">
        <v>65</v>
      </c>
      <c r="G132" s="161" t="s">
        <v>243</v>
      </c>
    </row>
    <row r="133" ht="15.75" customHeight="1">
      <c r="A133" s="162">
        <v>178.0</v>
      </c>
      <c r="B133" s="163">
        <v>46149.0</v>
      </c>
      <c r="C133" s="164">
        <v>672.0</v>
      </c>
      <c r="D133" s="165" t="s">
        <v>298</v>
      </c>
      <c r="E133" s="43" t="s">
        <v>58</v>
      </c>
      <c r="F133" s="166" t="s">
        <v>89</v>
      </c>
      <c r="G133" s="182">
        <v>70510.0</v>
      </c>
    </row>
    <row r="134" ht="15.75" hidden="1" customHeight="1">
      <c r="A134" s="168">
        <v>176.0</v>
      </c>
      <c r="B134" s="169">
        <v>46147.0</v>
      </c>
      <c r="C134" s="170">
        <v>269.1</v>
      </c>
      <c r="D134" s="43" t="s">
        <v>288</v>
      </c>
      <c r="E134" s="43" t="s">
        <v>57</v>
      </c>
      <c r="F134" s="43" t="s">
        <v>65</v>
      </c>
      <c r="G134" s="161" t="s">
        <v>271</v>
      </c>
    </row>
    <row r="135" ht="15.75" hidden="1" customHeight="1">
      <c r="A135" s="168">
        <v>176.0</v>
      </c>
      <c r="B135" s="169">
        <v>46148.0</v>
      </c>
      <c r="C135" s="170">
        <v>178.44</v>
      </c>
      <c r="D135" s="43" t="s">
        <v>288</v>
      </c>
      <c r="E135" s="43" t="s">
        <v>57</v>
      </c>
      <c r="F135" s="43" t="s">
        <v>65</v>
      </c>
      <c r="G135" s="172" t="s">
        <v>299</v>
      </c>
    </row>
    <row r="136" ht="15.75" hidden="1" customHeight="1">
      <c r="A136" s="171">
        <v>176.0</v>
      </c>
      <c r="B136" s="169">
        <v>46150.0</v>
      </c>
      <c r="C136" s="170">
        <v>68.19</v>
      </c>
      <c r="D136" s="43" t="s">
        <v>288</v>
      </c>
      <c r="E136" s="43" t="s">
        <v>57</v>
      </c>
      <c r="F136" s="43" t="s">
        <v>65</v>
      </c>
      <c r="G136" s="172" t="s">
        <v>300</v>
      </c>
    </row>
    <row r="137" ht="15.75" hidden="1" customHeight="1">
      <c r="A137" s="168">
        <v>176.0</v>
      </c>
      <c r="B137" s="169">
        <v>46150.0</v>
      </c>
      <c r="C137" s="170">
        <v>296.31</v>
      </c>
      <c r="D137" s="43" t="s">
        <v>288</v>
      </c>
      <c r="E137" s="43" t="s">
        <v>57</v>
      </c>
      <c r="F137" s="43" t="s">
        <v>65</v>
      </c>
      <c r="G137" s="161" t="s">
        <v>301</v>
      </c>
    </row>
    <row r="138" ht="15.75" hidden="1" customHeight="1">
      <c r="A138" s="168">
        <v>176.0</v>
      </c>
      <c r="B138" s="169">
        <v>46150.0</v>
      </c>
      <c r="C138" s="170">
        <v>505.55</v>
      </c>
      <c r="D138" s="43" t="s">
        <v>288</v>
      </c>
      <c r="E138" s="43" t="s">
        <v>57</v>
      </c>
      <c r="F138" s="43" t="s">
        <v>65</v>
      </c>
      <c r="G138" s="161" t="s">
        <v>302</v>
      </c>
    </row>
    <row r="139" ht="15.75" hidden="1" customHeight="1">
      <c r="A139" s="168">
        <v>176.0</v>
      </c>
      <c r="B139" s="169">
        <v>46151.0</v>
      </c>
      <c r="C139" s="170">
        <v>163.75</v>
      </c>
      <c r="D139" s="43" t="s">
        <v>288</v>
      </c>
      <c r="E139" s="43" t="s">
        <v>57</v>
      </c>
      <c r="F139" s="43" t="s">
        <v>65</v>
      </c>
      <c r="G139" s="161" t="s">
        <v>303</v>
      </c>
    </row>
    <row r="140" ht="15.75" hidden="1" customHeight="1">
      <c r="A140" s="168">
        <v>176.0</v>
      </c>
      <c r="B140" s="169">
        <v>46151.0</v>
      </c>
      <c r="C140" s="170">
        <v>242.32</v>
      </c>
      <c r="D140" s="43" t="s">
        <v>288</v>
      </c>
      <c r="E140" s="43" t="s">
        <v>57</v>
      </c>
      <c r="F140" s="43" t="s">
        <v>65</v>
      </c>
      <c r="G140" s="161" t="s">
        <v>304</v>
      </c>
    </row>
    <row r="141" ht="15.75" hidden="1" customHeight="1">
      <c r="A141" s="168">
        <v>176.0</v>
      </c>
      <c r="B141" s="169">
        <v>46155.0</v>
      </c>
      <c r="C141" s="170">
        <v>506.44</v>
      </c>
      <c r="D141" s="43" t="s">
        <v>288</v>
      </c>
      <c r="E141" s="43" t="s">
        <v>57</v>
      </c>
      <c r="F141" s="43" t="s">
        <v>65</v>
      </c>
      <c r="G141" s="161" t="s">
        <v>305</v>
      </c>
    </row>
    <row r="142" ht="15.75" hidden="1" customHeight="1">
      <c r="A142" s="171">
        <v>176.0</v>
      </c>
      <c r="B142" s="169">
        <v>46157.0</v>
      </c>
      <c r="C142" s="170">
        <v>112.05</v>
      </c>
      <c r="D142" s="43" t="s">
        <v>288</v>
      </c>
      <c r="E142" s="43" t="s">
        <v>57</v>
      </c>
      <c r="F142" s="43" t="s">
        <v>65</v>
      </c>
      <c r="G142" s="161" t="s">
        <v>306</v>
      </c>
    </row>
    <row r="143" ht="15.75" hidden="1" customHeight="1">
      <c r="A143" s="171">
        <v>176.0</v>
      </c>
      <c r="B143" s="169">
        <v>46158.0</v>
      </c>
      <c r="C143" s="170">
        <v>71.35</v>
      </c>
      <c r="D143" s="43" t="s">
        <v>288</v>
      </c>
      <c r="E143" s="43" t="s">
        <v>57</v>
      </c>
      <c r="F143" s="43" t="s">
        <v>65</v>
      </c>
      <c r="G143" s="172" t="s">
        <v>289</v>
      </c>
    </row>
    <row r="144" ht="15.75" hidden="1" customHeight="1">
      <c r="A144" s="168">
        <v>176.0</v>
      </c>
      <c r="B144" s="169">
        <v>46158.0</v>
      </c>
      <c r="C144" s="170">
        <v>554.27</v>
      </c>
      <c r="D144" s="43" t="s">
        <v>288</v>
      </c>
      <c r="E144" s="43" t="s">
        <v>57</v>
      </c>
      <c r="F144" s="43" t="s">
        <v>65</v>
      </c>
      <c r="G144" s="161" t="s">
        <v>307</v>
      </c>
    </row>
    <row r="145" ht="15.75" customHeight="1">
      <c r="A145" s="162">
        <v>178.0</v>
      </c>
      <c r="B145" s="163">
        <v>46150.0</v>
      </c>
      <c r="C145" s="164">
        <v>100.05</v>
      </c>
      <c r="D145" s="165" t="s">
        <v>308</v>
      </c>
      <c r="E145" s="43" t="s">
        <v>58</v>
      </c>
      <c r="F145" s="166" t="s">
        <v>151</v>
      </c>
      <c r="G145" s="178" t="s">
        <v>309</v>
      </c>
    </row>
    <row r="146" ht="15.75" customHeight="1">
      <c r="A146" s="162">
        <v>178.0</v>
      </c>
      <c r="B146" s="163">
        <v>46150.0</v>
      </c>
      <c r="C146" s="164">
        <v>100.0</v>
      </c>
      <c r="D146" s="165" t="s">
        <v>310</v>
      </c>
      <c r="E146" s="43" t="s">
        <v>59</v>
      </c>
      <c r="F146" s="166" t="s">
        <v>151</v>
      </c>
      <c r="G146" s="178" t="s">
        <v>311</v>
      </c>
    </row>
    <row r="147" ht="15.75" customHeight="1">
      <c r="A147" s="162">
        <v>178.0</v>
      </c>
      <c r="B147" s="163">
        <v>46150.0</v>
      </c>
      <c r="C147" s="164">
        <v>100.01</v>
      </c>
      <c r="D147" s="165" t="s">
        <v>312</v>
      </c>
      <c r="E147" s="43" t="s">
        <v>8</v>
      </c>
      <c r="F147" s="166" t="s">
        <v>151</v>
      </c>
      <c r="G147" s="178" t="s">
        <v>313</v>
      </c>
    </row>
    <row r="148" ht="15.75" customHeight="1">
      <c r="A148" s="162">
        <v>178.0</v>
      </c>
      <c r="B148" s="163">
        <v>46150.0</v>
      </c>
      <c r="C148" s="164">
        <v>100.02</v>
      </c>
      <c r="D148" s="165" t="s">
        <v>314</v>
      </c>
      <c r="E148" s="43" t="s">
        <v>58</v>
      </c>
      <c r="F148" s="166" t="s">
        <v>151</v>
      </c>
      <c r="G148" s="178" t="s">
        <v>315</v>
      </c>
    </row>
    <row r="149" ht="15.75" customHeight="1">
      <c r="A149" s="162">
        <v>178.0</v>
      </c>
      <c r="B149" s="163">
        <v>46150.0</v>
      </c>
      <c r="C149" s="164">
        <v>100.03</v>
      </c>
      <c r="D149" s="165" t="s">
        <v>316</v>
      </c>
      <c r="E149" s="43" t="s">
        <v>59</v>
      </c>
      <c r="F149" s="166" t="s">
        <v>151</v>
      </c>
      <c r="G149" s="178" t="s">
        <v>317</v>
      </c>
    </row>
    <row r="150" ht="15.75" customHeight="1">
      <c r="A150" s="162">
        <v>178.0</v>
      </c>
      <c r="B150" s="163">
        <v>46150.0</v>
      </c>
      <c r="C150" s="164">
        <v>100.04</v>
      </c>
      <c r="D150" s="165" t="s">
        <v>318</v>
      </c>
      <c r="E150" s="43" t="s">
        <v>8</v>
      </c>
      <c r="F150" s="166" t="s">
        <v>151</v>
      </c>
      <c r="G150" s="178" t="s">
        <v>319</v>
      </c>
    </row>
    <row r="151" ht="15.75" customHeight="1">
      <c r="A151" s="162">
        <v>178.0</v>
      </c>
      <c r="B151" s="163">
        <v>46150.0</v>
      </c>
      <c r="C151" s="164">
        <v>100.06</v>
      </c>
      <c r="D151" s="165" t="s">
        <v>320</v>
      </c>
      <c r="E151" s="43" t="s">
        <v>58</v>
      </c>
      <c r="F151" s="166" t="s">
        <v>151</v>
      </c>
      <c r="G151" s="178" t="s">
        <v>321</v>
      </c>
    </row>
    <row r="152" ht="15.75" customHeight="1">
      <c r="A152" s="162">
        <v>178.0</v>
      </c>
      <c r="B152" s="163">
        <v>46150.0</v>
      </c>
      <c r="C152" s="164">
        <v>100.07</v>
      </c>
      <c r="D152" s="165" t="s">
        <v>322</v>
      </c>
      <c r="E152" s="43" t="s">
        <v>59</v>
      </c>
      <c r="F152" s="166" t="s">
        <v>151</v>
      </c>
      <c r="G152" s="178" t="s">
        <v>323</v>
      </c>
    </row>
    <row r="153" ht="15.75" customHeight="1">
      <c r="A153" s="162">
        <v>178.0</v>
      </c>
      <c r="B153" s="163">
        <v>46150.0</v>
      </c>
      <c r="C153" s="164">
        <v>100.07</v>
      </c>
      <c r="D153" s="165" t="s">
        <v>324</v>
      </c>
      <c r="E153" s="43" t="s">
        <v>8</v>
      </c>
      <c r="F153" s="166" t="s">
        <v>151</v>
      </c>
      <c r="G153" s="178" t="s">
        <v>325</v>
      </c>
    </row>
    <row r="154" ht="15.75" customHeight="1">
      <c r="A154" s="162">
        <v>178.0</v>
      </c>
      <c r="B154" s="163">
        <v>46150.0</v>
      </c>
      <c r="C154" s="164">
        <v>100.08</v>
      </c>
      <c r="D154" s="165" t="s">
        <v>326</v>
      </c>
      <c r="E154" s="43" t="s">
        <v>58</v>
      </c>
      <c r="F154" s="166" t="s">
        <v>151</v>
      </c>
      <c r="G154" s="178" t="s">
        <v>327</v>
      </c>
    </row>
    <row r="155" ht="15.75" customHeight="1">
      <c r="A155" s="162">
        <v>178.0</v>
      </c>
      <c r="B155" s="163">
        <v>46150.0</v>
      </c>
      <c r="C155" s="164">
        <v>100.09</v>
      </c>
      <c r="D155" s="165" t="s">
        <v>328</v>
      </c>
      <c r="E155" s="43" t="s">
        <v>59</v>
      </c>
      <c r="F155" s="166" t="s">
        <v>151</v>
      </c>
      <c r="G155" s="178" t="s">
        <v>329</v>
      </c>
    </row>
    <row r="156" ht="15.75" customHeight="1">
      <c r="A156" s="162">
        <v>178.0</v>
      </c>
      <c r="B156" s="163">
        <v>46150.0</v>
      </c>
      <c r="C156" s="164">
        <v>100.1</v>
      </c>
      <c r="D156" s="165" t="s">
        <v>330</v>
      </c>
      <c r="E156" s="43" t="s">
        <v>8</v>
      </c>
      <c r="F156" s="166" t="s">
        <v>151</v>
      </c>
      <c r="G156" s="178" t="s">
        <v>331</v>
      </c>
    </row>
    <row r="157" ht="15.75" hidden="1" customHeight="1">
      <c r="A157" s="168">
        <v>176.0</v>
      </c>
      <c r="B157" s="169">
        <v>46161.0</v>
      </c>
      <c r="C157" s="170">
        <v>686.84</v>
      </c>
      <c r="D157" s="43" t="s">
        <v>288</v>
      </c>
      <c r="E157" s="43" t="s">
        <v>57</v>
      </c>
      <c r="F157" s="43" t="s">
        <v>65</v>
      </c>
      <c r="G157" s="161" t="s">
        <v>332</v>
      </c>
    </row>
    <row r="158" ht="15.75" hidden="1" customHeight="1">
      <c r="A158" s="168">
        <v>176.0</v>
      </c>
      <c r="B158" s="169">
        <v>46162.0</v>
      </c>
      <c r="C158" s="170">
        <v>42.83</v>
      </c>
      <c r="D158" s="183" t="s">
        <v>288</v>
      </c>
      <c r="E158" s="43" t="s">
        <v>57</v>
      </c>
      <c r="F158" s="43" t="s">
        <v>65</v>
      </c>
      <c r="G158" s="172" t="s">
        <v>333</v>
      </c>
    </row>
    <row r="159" ht="15.75" hidden="1" customHeight="1">
      <c r="A159" s="171">
        <v>176.0</v>
      </c>
      <c r="B159" s="169">
        <v>46162.0</v>
      </c>
      <c r="C159" s="170">
        <v>87.55</v>
      </c>
      <c r="D159" s="43" t="s">
        <v>288</v>
      </c>
      <c r="E159" s="43" t="s">
        <v>57</v>
      </c>
      <c r="F159" s="43" t="s">
        <v>65</v>
      </c>
      <c r="G159" s="172" t="s">
        <v>334</v>
      </c>
    </row>
    <row r="160" ht="15.75" hidden="1" customHeight="1">
      <c r="A160" s="171">
        <v>176.0</v>
      </c>
      <c r="B160" s="169">
        <v>46163.0</v>
      </c>
      <c r="C160" s="170">
        <v>159.35</v>
      </c>
      <c r="D160" s="43" t="s">
        <v>288</v>
      </c>
      <c r="E160" s="43" t="s">
        <v>57</v>
      </c>
      <c r="F160" s="43" t="s">
        <v>65</v>
      </c>
      <c r="G160" s="161" t="s">
        <v>335</v>
      </c>
    </row>
    <row r="161" ht="15.75" hidden="1" customHeight="1">
      <c r="A161" s="168">
        <v>176.0</v>
      </c>
      <c r="B161" s="169">
        <v>46164.0</v>
      </c>
      <c r="C161" s="170">
        <v>101.11</v>
      </c>
      <c r="D161" s="43" t="s">
        <v>288</v>
      </c>
      <c r="E161" s="43" t="s">
        <v>57</v>
      </c>
      <c r="F161" s="43" t="s">
        <v>65</v>
      </c>
      <c r="G161" s="172" t="s">
        <v>336</v>
      </c>
    </row>
    <row r="162" ht="15.75" hidden="1" customHeight="1">
      <c r="A162" s="168">
        <v>176.0</v>
      </c>
      <c r="B162" s="169">
        <v>46165.0</v>
      </c>
      <c r="C162" s="170">
        <v>352.29</v>
      </c>
      <c r="D162" s="43" t="s">
        <v>288</v>
      </c>
      <c r="E162" s="43" t="s">
        <v>57</v>
      </c>
      <c r="F162" s="43" t="s">
        <v>65</v>
      </c>
      <c r="G162" s="161" t="s">
        <v>337</v>
      </c>
    </row>
    <row r="163" ht="15.75" hidden="1" customHeight="1">
      <c r="A163" s="171">
        <v>176.0</v>
      </c>
      <c r="B163" s="169">
        <v>46167.0</v>
      </c>
      <c r="C163" s="170">
        <v>71.97</v>
      </c>
      <c r="D163" s="43" t="s">
        <v>288</v>
      </c>
      <c r="E163" s="43" t="s">
        <v>57</v>
      </c>
      <c r="F163" s="43" t="s">
        <v>65</v>
      </c>
      <c r="G163" s="173" t="s">
        <v>338</v>
      </c>
    </row>
    <row r="164" ht="15.75" hidden="1" customHeight="1">
      <c r="A164" s="171">
        <v>176.0</v>
      </c>
      <c r="B164" s="169">
        <v>46168.0</v>
      </c>
      <c r="C164" s="170">
        <v>169.76</v>
      </c>
      <c r="D164" s="43" t="s">
        <v>288</v>
      </c>
      <c r="E164" s="43" t="s">
        <v>57</v>
      </c>
      <c r="F164" s="43" t="s">
        <v>65</v>
      </c>
      <c r="G164" s="161" t="s">
        <v>286</v>
      </c>
    </row>
    <row r="165" ht="15.75" hidden="1" customHeight="1">
      <c r="A165" s="168">
        <v>176.0</v>
      </c>
      <c r="B165" s="169">
        <v>46171.0</v>
      </c>
      <c r="C165" s="170">
        <v>568.56</v>
      </c>
      <c r="D165" s="43" t="s">
        <v>288</v>
      </c>
      <c r="E165" s="43" t="s">
        <v>57</v>
      </c>
      <c r="F165" s="43" t="s">
        <v>65</v>
      </c>
      <c r="G165" s="161" t="s">
        <v>219</v>
      </c>
    </row>
    <row r="166" ht="15.75" hidden="1" customHeight="1">
      <c r="A166" s="168">
        <v>176.0</v>
      </c>
      <c r="B166" s="169">
        <v>46172.0</v>
      </c>
      <c r="C166" s="170">
        <v>33.65</v>
      </c>
      <c r="D166" s="43" t="s">
        <v>288</v>
      </c>
      <c r="E166" s="43" t="s">
        <v>57</v>
      </c>
      <c r="F166" s="43" t="s">
        <v>65</v>
      </c>
      <c r="G166" s="161" t="s">
        <v>339</v>
      </c>
    </row>
    <row r="167" ht="15.75" hidden="1" customHeight="1">
      <c r="A167" s="168">
        <v>176.0</v>
      </c>
      <c r="B167" s="169">
        <v>46172.0</v>
      </c>
      <c r="C167" s="170">
        <v>49.24</v>
      </c>
      <c r="D167" s="43" t="s">
        <v>288</v>
      </c>
      <c r="E167" s="43" t="s">
        <v>57</v>
      </c>
      <c r="F167" s="43" t="s">
        <v>65</v>
      </c>
      <c r="G167" s="180" t="s">
        <v>340</v>
      </c>
    </row>
    <row r="168" ht="15.75" hidden="1" customHeight="1">
      <c r="A168" s="168">
        <v>176.0</v>
      </c>
      <c r="B168" s="169">
        <v>46147.0</v>
      </c>
      <c r="C168" s="170">
        <v>248.8</v>
      </c>
      <c r="D168" s="43" t="s">
        <v>341</v>
      </c>
      <c r="E168" s="43" t="s">
        <v>57</v>
      </c>
      <c r="F168" s="43" t="s">
        <v>65</v>
      </c>
      <c r="G168" s="161" t="s">
        <v>342</v>
      </c>
    </row>
    <row r="169" ht="15.75" hidden="1" customHeight="1">
      <c r="A169" s="168">
        <v>176.0</v>
      </c>
      <c r="B169" s="169">
        <v>46164.0</v>
      </c>
      <c r="C169" s="170">
        <v>649.73</v>
      </c>
      <c r="D169" s="43" t="s">
        <v>341</v>
      </c>
      <c r="E169" s="43" t="s">
        <v>57</v>
      </c>
      <c r="F169" s="43" t="s">
        <v>65</v>
      </c>
      <c r="G169" s="161" t="s">
        <v>343</v>
      </c>
    </row>
    <row r="170" ht="15.75" hidden="1" customHeight="1">
      <c r="A170" s="171">
        <v>176.0</v>
      </c>
      <c r="B170" s="169">
        <v>46147.0</v>
      </c>
      <c r="C170" s="170">
        <v>133.46</v>
      </c>
      <c r="D170" s="43" t="s">
        <v>344</v>
      </c>
      <c r="E170" s="43" t="s">
        <v>57</v>
      </c>
      <c r="F170" s="43" t="s">
        <v>65</v>
      </c>
      <c r="G170" s="172" t="s">
        <v>345</v>
      </c>
    </row>
    <row r="171" ht="15.75" hidden="1" customHeight="1">
      <c r="A171" s="171">
        <v>176.0</v>
      </c>
      <c r="B171" s="169">
        <v>46149.0</v>
      </c>
      <c r="C171" s="170">
        <v>68.95</v>
      </c>
      <c r="D171" s="43" t="s">
        <v>344</v>
      </c>
      <c r="E171" s="43" t="s">
        <v>57</v>
      </c>
      <c r="F171" s="43" t="s">
        <v>65</v>
      </c>
      <c r="G171" s="180" t="s">
        <v>346</v>
      </c>
    </row>
    <row r="172" ht="15.75" customHeight="1">
      <c r="A172" s="162">
        <v>178.0</v>
      </c>
      <c r="B172" s="163">
        <v>46151.0</v>
      </c>
      <c r="C172" s="164">
        <v>170.0</v>
      </c>
      <c r="D172" s="165" t="s">
        <v>347</v>
      </c>
      <c r="E172" s="43" t="s">
        <v>58</v>
      </c>
      <c r="F172" s="43" t="s">
        <v>125</v>
      </c>
      <c r="G172" s="167">
        <v>905.0</v>
      </c>
    </row>
    <row r="173" ht="15.75" hidden="1" customHeight="1">
      <c r="A173" s="168">
        <v>176.0</v>
      </c>
      <c r="B173" s="169">
        <v>46151.0</v>
      </c>
      <c r="C173" s="170">
        <v>262.98</v>
      </c>
      <c r="D173" s="43" t="s">
        <v>344</v>
      </c>
      <c r="E173" s="43" t="s">
        <v>57</v>
      </c>
      <c r="F173" s="43" t="s">
        <v>65</v>
      </c>
      <c r="G173" s="161" t="s">
        <v>304</v>
      </c>
    </row>
    <row r="174" ht="15.75" hidden="1" customHeight="1">
      <c r="A174" s="168">
        <v>176.0</v>
      </c>
      <c r="B174" s="169">
        <v>46164.0</v>
      </c>
      <c r="C174" s="170">
        <v>264.72</v>
      </c>
      <c r="D174" s="43" t="s">
        <v>344</v>
      </c>
      <c r="E174" s="43" t="s">
        <v>57</v>
      </c>
      <c r="F174" s="43" t="s">
        <v>65</v>
      </c>
      <c r="G174" s="161" t="s">
        <v>337</v>
      </c>
    </row>
    <row r="175" ht="15.75" hidden="1" customHeight="1">
      <c r="A175" s="171">
        <v>176.0</v>
      </c>
      <c r="B175" s="169">
        <v>46165.0</v>
      </c>
      <c r="C175" s="170">
        <v>197.56</v>
      </c>
      <c r="D175" s="43" t="s">
        <v>344</v>
      </c>
      <c r="E175" s="43" t="s">
        <v>57</v>
      </c>
      <c r="F175" s="43" t="s">
        <v>65</v>
      </c>
      <c r="G175" s="172" t="s">
        <v>272</v>
      </c>
    </row>
    <row r="176" ht="15.75" hidden="1" customHeight="1">
      <c r="A176" s="171">
        <v>176.0</v>
      </c>
      <c r="B176" s="169">
        <v>46170.0</v>
      </c>
      <c r="C176" s="170">
        <v>70.46</v>
      </c>
      <c r="D176" s="43" t="s">
        <v>344</v>
      </c>
      <c r="E176" s="43" t="s">
        <v>57</v>
      </c>
      <c r="F176" s="43" t="s">
        <v>65</v>
      </c>
      <c r="G176" s="172" t="s">
        <v>348</v>
      </c>
    </row>
    <row r="177" ht="15.75" hidden="1" customHeight="1">
      <c r="A177" s="168">
        <v>176.0</v>
      </c>
      <c r="B177" s="169">
        <v>46156.0</v>
      </c>
      <c r="C177" s="170">
        <v>1192.81</v>
      </c>
      <c r="D177" s="43" t="s">
        <v>349</v>
      </c>
      <c r="E177" s="43" t="s">
        <v>57</v>
      </c>
      <c r="F177" s="43" t="s">
        <v>65</v>
      </c>
      <c r="G177" s="161" t="s">
        <v>350</v>
      </c>
    </row>
    <row r="178" ht="15.75" hidden="1" customHeight="1">
      <c r="A178" s="171">
        <v>176.0</v>
      </c>
      <c r="B178" s="169">
        <v>46146.0</v>
      </c>
      <c r="C178" s="170">
        <v>19.0</v>
      </c>
      <c r="D178" s="43" t="s">
        <v>171</v>
      </c>
      <c r="E178" s="43" t="s">
        <v>57</v>
      </c>
      <c r="F178" s="43" t="s">
        <v>70</v>
      </c>
      <c r="G178" s="161" t="s">
        <v>351</v>
      </c>
    </row>
    <row r="179" ht="15.75" hidden="1" customHeight="1">
      <c r="A179" s="168">
        <v>176.0</v>
      </c>
      <c r="B179" s="169">
        <v>46156.0</v>
      </c>
      <c r="C179" s="170">
        <v>265.7</v>
      </c>
      <c r="D179" s="43" t="s">
        <v>352</v>
      </c>
      <c r="E179" s="43" t="s">
        <v>57</v>
      </c>
      <c r="F179" s="43" t="s">
        <v>67</v>
      </c>
      <c r="G179" s="161" t="s">
        <v>353</v>
      </c>
    </row>
    <row r="180" ht="15.75" hidden="1" customHeight="1">
      <c r="A180" s="168">
        <v>176.0</v>
      </c>
      <c r="B180" s="169">
        <v>46153.0</v>
      </c>
      <c r="C180" s="170">
        <v>6546.3</v>
      </c>
      <c r="D180" s="43" t="s">
        <v>354</v>
      </c>
      <c r="E180" s="43" t="s">
        <v>57</v>
      </c>
      <c r="F180" s="43" t="s">
        <v>293</v>
      </c>
      <c r="G180" s="161" t="s">
        <v>355</v>
      </c>
    </row>
    <row r="181" ht="15.75" hidden="1" customHeight="1">
      <c r="A181" s="168">
        <v>176.0</v>
      </c>
      <c r="B181" s="169">
        <v>46149.0</v>
      </c>
      <c r="C181" s="170">
        <v>1394.44</v>
      </c>
      <c r="D181" s="43" t="s">
        <v>356</v>
      </c>
      <c r="E181" s="43" t="s">
        <v>57</v>
      </c>
      <c r="F181" s="43" t="s">
        <v>293</v>
      </c>
      <c r="G181" s="161" t="s">
        <v>102</v>
      </c>
    </row>
    <row r="182" ht="15.75" hidden="1" customHeight="1">
      <c r="A182" s="171">
        <v>176.0</v>
      </c>
      <c r="B182" s="169">
        <v>46149.0</v>
      </c>
      <c r="C182" s="170">
        <v>20.0</v>
      </c>
      <c r="D182" s="43" t="s">
        <v>52</v>
      </c>
      <c r="E182" s="43" t="s">
        <v>57</v>
      </c>
      <c r="F182" s="43" t="s">
        <v>293</v>
      </c>
      <c r="G182" s="161" t="s">
        <v>357</v>
      </c>
    </row>
    <row r="183" ht="15.75" hidden="1" customHeight="1">
      <c r="A183" s="168">
        <v>176.0</v>
      </c>
      <c r="B183" s="169">
        <v>46149.0</v>
      </c>
      <c r="C183" s="170">
        <v>2960.22</v>
      </c>
      <c r="D183" s="43" t="s">
        <v>52</v>
      </c>
      <c r="E183" s="43" t="s">
        <v>57</v>
      </c>
      <c r="F183" s="43" t="s">
        <v>293</v>
      </c>
      <c r="G183" s="161" t="s">
        <v>358</v>
      </c>
    </row>
    <row r="184" ht="15.75" hidden="1" customHeight="1">
      <c r="A184" s="168">
        <v>176.0</v>
      </c>
      <c r="B184" s="169">
        <v>46149.0</v>
      </c>
      <c r="C184" s="170">
        <v>800.0</v>
      </c>
      <c r="D184" s="43" t="s">
        <v>359</v>
      </c>
      <c r="E184" s="43" t="s">
        <v>57</v>
      </c>
      <c r="F184" s="43" t="s">
        <v>293</v>
      </c>
      <c r="G184" s="161" t="s">
        <v>360</v>
      </c>
    </row>
    <row r="185" ht="15.75" hidden="1" customHeight="1">
      <c r="A185" s="168">
        <v>176.0</v>
      </c>
      <c r="B185" s="169">
        <v>46149.0</v>
      </c>
      <c r="C185" s="170">
        <v>919.63</v>
      </c>
      <c r="D185" s="43" t="s">
        <v>361</v>
      </c>
      <c r="E185" s="43" t="s">
        <v>57</v>
      </c>
      <c r="F185" s="43" t="s">
        <v>293</v>
      </c>
      <c r="G185" s="161" t="s">
        <v>106</v>
      </c>
    </row>
    <row r="186" ht="15.75" hidden="1" customHeight="1">
      <c r="A186" s="168">
        <v>176.0</v>
      </c>
      <c r="B186" s="169">
        <v>46170.0</v>
      </c>
      <c r="C186" s="170">
        <v>650.0</v>
      </c>
      <c r="D186" s="43" t="s">
        <v>362</v>
      </c>
      <c r="E186" s="43" t="s">
        <v>57</v>
      </c>
      <c r="F186" s="43" t="s">
        <v>73</v>
      </c>
      <c r="G186" s="161" t="s">
        <v>363</v>
      </c>
    </row>
    <row r="187" ht="15.75" hidden="1" customHeight="1">
      <c r="A187" s="184">
        <v>176.0</v>
      </c>
      <c r="B187" s="185">
        <v>46157.0</v>
      </c>
      <c r="C187" s="186">
        <v>841.31</v>
      </c>
      <c r="D187" s="187" t="s">
        <v>364</v>
      </c>
      <c r="E187" s="188" t="s">
        <v>57</v>
      </c>
      <c r="F187" s="189" t="s">
        <v>89</v>
      </c>
      <c r="G187" s="190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ht="15.75" hidden="1" customHeight="1">
      <c r="A188" s="184">
        <v>176.0</v>
      </c>
      <c r="B188" s="185">
        <v>46157.0</v>
      </c>
      <c r="C188" s="186">
        <v>2178.18</v>
      </c>
      <c r="D188" s="187" t="s">
        <v>365</v>
      </c>
      <c r="E188" s="188" t="s">
        <v>57</v>
      </c>
      <c r="F188" s="189" t="s">
        <v>89</v>
      </c>
      <c r="G188" s="192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ht="15.75" hidden="1" customHeight="1">
      <c r="A189" s="168">
        <v>176.0</v>
      </c>
      <c r="B189" s="169">
        <v>46149.0</v>
      </c>
      <c r="C189" s="170">
        <v>1377.4</v>
      </c>
      <c r="D189" s="43" t="s">
        <v>366</v>
      </c>
      <c r="E189" s="43" t="s">
        <v>57</v>
      </c>
      <c r="F189" s="43" t="s">
        <v>89</v>
      </c>
      <c r="G189" s="161" t="s">
        <v>367</v>
      </c>
    </row>
    <row r="190" ht="15.75" hidden="1" customHeight="1">
      <c r="A190" s="168">
        <v>176.0</v>
      </c>
      <c r="B190" s="169">
        <v>46162.0</v>
      </c>
      <c r="C190" s="170">
        <v>552.5</v>
      </c>
      <c r="D190" s="43" t="s">
        <v>368</v>
      </c>
      <c r="E190" s="43" t="s">
        <v>57</v>
      </c>
      <c r="F190" s="43" t="s">
        <v>86</v>
      </c>
      <c r="G190" s="161" t="s">
        <v>369</v>
      </c>
    </row>
    <row r="191" ht="15.75" hidden="1" customHeight="1">
      <c r="A191" s="171">
        <v>176.0</v>
      </c>
      <c r="B191" s="169">
        <v>46148.0</v>
      </c>
      <c r="C191" s="170">
        <v>110.5</v>
      </c>
      <c r="D191" s="43" t="s">
        <v>370</v>
      </c>
      <c r="E191" s="43" t="s">
        <v>57</v>
      </c>
      <c r="F191" s="166" t="s">
        <v>127</v>
      </c>
      <c r="G191" s="161" t="s">
        <v>371</v>
      </c>
    </row>
    <row r="192" ht="15.75" hidden="1" customHeight="1">
      <c r="A192" s="168">
        <v>176.0</v>
      </c>
      <c r="B192" s="169">
        <v>46167.0</v>
      </c>
      <c r="C192" s="170">
        <v>460.0</v>
      </c>
      <c r="D192" s="43" t="s">
        <v>372</v>
      </c>
      <c r="E192" s="43" t="s">
        <v>57</v>
      </c>
      <c r="F192" s="43" t="s">
        <v>141</v>
      </c>
      <c r="G192" s="161" t="s">
        <v>373</v>
      </c>
    </row>
    <row r="193" ht="15.75" hidden="1" customHeight="1">
      <c r="A193" s="168">
        <v>176.0</v>
      </c>
      <c r="B193" s="169">
        <v>46144.0</v>
      </c>
      <c r="C193" s="170">
        <v>190.0</v>
      </c>
      <c r="D193" s="43" t="s">
        <v>374</v>
      </c>
      <c r="E193" s="43" t="s">
        <v>57</v>
      </c>
      <c r="F193" s="43" t="s">
        <v>123</v>
      </c>
      <c r="G193" s="172" t="s">
        <v>375</v>
      </c>
    </row>
    <row r="194" ht="15.75" hidden="1" customHeight="1">
      <c r="A194" s="168">
        <v>176.0</v>
      </c>
      <c r="B194" s="169">
        <v>46145.0</v>
      </c>
      <c r="C194" s="170">
        <v>190.0</v>
      </c>
      <c r="D194" s="43" t="s">
        <v>374</v>
      </c>
      <c r="E194" s="43" t="s">
        <v>57</v>
      </c>
      <c r="F194" s="43" t="s">
        <v>123</v>
      </c>
      <c r="G194" s="161" t="s">
        <v>376</v>
      </c>
    </row>
    <row r="195" ht="15.75" hidden="1" customHeight="1">
      <c r="A195" s="168">
        <v>176.0</v>
      </c>
      <c r="B195" s="169">
        <v>46145.0</v>
      </c>
      <c r="C195" s="170">
        <v>230.0</v>
      </c>
      <c r="D195" s="43" t="s">
        <v>374</v>
      </c>
      <c r="E195" s="43" t="s">
        <v>57</v>
      </c>
      <c r="F195" s="43" t="s">
        <v>123</v>
      </c>
      <c r="G195" s="161" t="s">
        <v>376</v>
      </c>
    </row>
    <row r="196" ht="15.75" hidden="1" customHeight="1">
      <c r="A196" s="171">
        <v>176.0</v>
      </c>
      <c r="B196" s="169">
        <v>46147.0</v>
      </c>
      <c r="C196" s="170">
        <v>190.0</v>
      </c>
      <c r="D196" s="43" t="s">
        <v>374</v>
      </c>
      <c r="E196" s="43" t="s">
        <v>57</v>
      </c>
      <c r="F196" s="43" t="s">
        <v>123</v>
      </c>
      <c r="G196" s="172" t="s">
        <v>376</v>
      </c>
    </row>
    <row r="197" ht="15.75" hidden="1" customHeight="1">
      <c r="A197" s="171">
        <v>176.0</v>
      </c>
      <c r="B197" s="169">
        <v>46147.0</v>
      </c>
      <c r="C197" s="170">
        <v>200.0</v>
      </c>
      <c r="D197" s="43" t="s">
        <v>374</v>
      </c>
      <c r="E197" s="43" t="s">
        <v>57</v>
      </c>
      <c r="F197" s="43" t="s">
        <v>123</v>
      </c>
      <c r="G197" s="161" t="s">
        <v>377</v>
      </c>
    </row>
    <row r="198" ht="15.75" hidden="1" customHeight="1">
      <c r="A198" s="168">
        <v>176.0</v>
      </c>
      <c r="B198" s="169">
        <v>46148.0</v>
      </c>
      <c r="C198" s="170">
        <v>200.0</v>
      </c>
      <c r="D198" s="43" t="s">
        <v>374</v>
      </c>
      <c r="E198" s="43" t="s">
        <v>57</v>
      </c>
      <c r="F198" s="43" t="s">
        <v>123</v>
      </c>
      <c r="G198" s="161" t="s">
        <v>378</v>
      </c>
    </row>
    <row r="199" ht="15.75" hidden="1" customHeight="1">
      <c r="A199" s="171">
        <v>176.0</v>
      </c>
      <c r="B199" s="169">
        <v>46150.0</v>
      </c>
      <c r="C199" s="170">
        <v>190.0</v>
      </c>
      <c r="D199" s="43" t="s">
        <v>374</v>
      </c>
      <c r="E199" s="43" t="s">
        <v>57</v>
      </c>
      <c r="F199" s="43" t="s">
        <v>123</v>
      </c>
      <c r="G199" s="172" t="s">
        <v>376</v>
      </c>
    </row>
    <row r="200" ht="15.75" hidden="1" customHeight="1">
      <c r="A200" s="171">
        <v>176.0</v>
      </c>
      <c r="B200" s="169">
        <v>46152.0</v>
      </c>
      <c r="C200" s="170">
        <v>190.0</v>
      </c>
      <c r="D200" s="43" t="s">
        <v>374</v>
      </c>
      <c r="E200" s="43" t="s">
        <v>57</v>
      </c>
      <c r="F200" s="43" t="s">
        <v>123</v>
      </c>
      <c r="G200" s="172" t="s">
        <v>379</v>
      </c>
    </row>
    <row r="201" ht="15.75" hidden="1" customHeight="1">
      <c r="A201" s="171">
        <v>176.0</v>
      </c>
      <c r="B201" s="169">
        <v>46156.0</v>
      </c>
      <c r="C201" s="170">
        <v>190.0</v>
      </c>
      <c r="D201" s="43" t="s">
        <v>374</v>
      </c>
      <c r="E201" s="43" t="s">
        <v>57</v>
      </c>
      <c r="F201" s="43" t="s">
        <v>123</v>
      </c>
      <c r="G201" s="172" t="s">
        <v>380</v>
      </c>
    </row>
    <row r="202" ht="15.75" hidden="1" customHeight="1">
      <c r="A202" s="168">
        <v>176.0</v>
      </c>
      <c r="B202" s="169">
        <v>46158.0</v>
      </c>
      <c r="C202" s="170">
        <v>260.0</v>
      </c>
      <c r="D202" s="43" t="s">
        <v>374</v>
      </c>
      <c r="E202" s="43" t="s">
        <v>57</v>
      </c>
      <c r="F202" s="43" t="s">
        <v>123</v>
      </c>
      <c r="G202" s="161" t="s">
        <v>381</v>
      </c>
    </row>
    <row r="203" ht="15.75" customHeight="1">
      <c r="A203" s="162">
        <v>178.0</v>
      </c>
      <c r="B203" s="163">
        <v>46152.0</v>
      </c>
      <c r="C203" s="164">
        <v>100.0</v>
      </c>
      <c r="D203" s="165" t="s">
        <v>382</v>
      </c>
      <c r="E203" s="43" t="s">
        <v>58</v>
      </c>
      <c r="F203" s="43" t="s">
        <v>151</v>
      </c>
      <c r="G203" s="193">
        <v>1007.0</v>
      </c>
    </row>
    <row r="204" ht="15.75" customHeight="1">
      <c r="A204" s="162">
        <v>178.0</v>
      </c>
      <c r="B204" s="163">
        <v>46152.0</v>
      </c>
      <c r="C204" s="164">
        <v>100.0</v>
      </c>
      <c r="D204" s="165" t="s">
        <v>383</v>
      </c>
      <c r="E204" s="43" t="s">
        <v>59</v>
      </c>
      <c r="F204" s="43" t="s">
        <v>151</v>
      </c>
      <c r="G204" s="193">
        <v>1008.0</v>
      </c>
    </row>
    <row r="205" ht="15.75" customHeight="1">
      <c r="A205" s="162">
        <v>178.0</v>
      </c>
      <c r="B205" s="163">
        <v>46152.0</v>
      </c>
      <c r="C205" s="164">
        <v>100.0</v>
      </c>
      <c r="D205" s="165" t="s">
        <v>384</v>
      </c>
      <c r="E205" s="43" t="s">
        <v>58</v>
      </c>
      <c r="F205" s="43" t="s">
        <v>151</v>
      </c>
      <c r="G205" s="193">
        <v>1012.0</v>
      </c>
    </row>
    <row r="206" ht="15.75" hidden="1" customHeight="1">
      <c r="A206" s="168">
        <v>176.0</v>
      </c>
      <c r="B206" s="169">
        <v>46159.0</v>
      </c>
      <c r="C206" s="170">
        <v>240.0</v>
      </c>
      <c r="D206" s="43" t="s">
        <v>374</v>
      </c>
      <c r="E206" s="43" t="s">
        <v>57</v>
      </c>
      <c r="F206" s="43" t="s">
        <v>123</v>
      </c>
      <c r="G206" s="161" t="s">
        <v>376</v>
      </c>
    </row>
    <row r="207" ht="15.75" hidden="1" customHeight="1">
      <c r="A207" s="168">
        <v>176.0</v>
      </c>
      <c r="B207" s="169">
        <v>46162.0</v>
      </c>
      <c r="C207" s="170">
        <v>210.0</v>
      </c>
      <c r="D207" s="43" t="s">
        <v>374</v>
      </c>
      <c r="E207" s="43" t="s">
        <v>57</v>
      </c>
      <c r="F207" s="43" t="s">
        <v>123</v>
      </c>
      <c r="G207" s="161" t="s">
        <v>385</v>
      </c>
    </row>
    <row r="208" ht="15.75" customHeight="1">
      <c r="A208" s="162">
        <v>178.0</v>
      </c>
      <c r="B208" s="163">
        <v>46152.0</v>
      </c>
      <c r="C208" s="164">
        <v>170.0</v>
      </c>
      <c r="D208" s="165" t="s">
        <v>386</v>
      </c>
      <c r="E208" s="43" t="s">
        <v>58</v>
      </c>
      <c r="F208" s="43" t="s">
        <v>125</v>
      </c>
      <c r="G208" s="193">
        <v>1020.0</v>
      </c>
    </row>
    <row r="209" ht="15.75" hidden="1" customHeight="1">
      <c r="A209" s="168">
        <v>176.0</v>
      </c>
      <c r="B209" s="169">
        <v>46163.0</v>
      </c>
      <c r="C209" s="170">
        <v>210.0</v>
      </c>
      <c r="D209" s="43" t="s">
        <v>374</v>
      </c>
      <c r="E209" s="43" t="s">
        <v>57</v>
      </c>
      <c r="F209" s="43" t="s">
        <v>123</v>
      </c>
      <c r="G209" s="161" t="s">
        <v>387</v>
      </c>
    </row>
    <row r="210" ht="15.75" customHeight="1">
      <c r="A210" s="162">
        <v>178.0</v>
      </c>
      <c r="B210" s="163">
        <v>46152.0</v>
      </c>
      <c r="C210" s="164">
        <v>170.0</v>
      </c>
      <c r="D210" s="165" t="s">
        <v>388</v>
      </c>
      <c r="E210" s="43" t="s">
        <v>58</v>
      </c>
      <c r="F210" s="43" t="s">
        <v>124</v>
      </c>
      <c r="G210" s="193">
        <v>1005.0</v>
      </c>
    </row>
    <row r="211" ht="15.75" hidden="1" customHeight="1">
      <c r="A211" s="171">
        <v>176.0</v>
      </c>
      <c r="B211" s="169">
        <v>46164.0</v>
      </c>
      <c r="C211" s="170">
        <v>190.0</v>
      </c>
      <c r="D211" s="43" t="s">
        <v>374</v>
      </c>
      <c r="E211" s="43" t="s">
        <v>57</v>
      </c>
      <c r="F211" s="43" t="s">
        <v>123</v>
      </c>
      <c r="G211" s="161" t="s">
        <v>389</v>
      </c>
    </row>
    <row r="212" ht="15.75" hidden="1" customHeight="1">
      <c r="A212" s="171">
        <v>176.0</v>
      </c>
      <c r="B212" s="169">
        <v>46165.0</v>
      </c>
      <c r="C212" s="170">
        <v>190.0</v>
      </c>
      <c r="D212" s="43" t="s">
        <v>374</v>
      </c>
      <c r="E212" s="43" t="s">
        <v>57</v>
      </c>
      <c r="F212" s="43" t="s">
        <v>123</v>
      </c>
      <c r="G212" s="173" t="s">
        <v>337</v>
      </c>
    </row>
    <row r="213" ht="15.75" hidden="1" customHeight="1">
      <c r="A213" s="171">
        <v>176.0</v>
      </c>
      <c r="B213" s="169">
        <v>46171.0</v>
      </c>
      <c r="C213" s="170">
        <v>190.0</v>
      </c>
      <c r="D213" s="43" t="s">
        <v>374</v>
      </c>
      <c r="E213" s="43" t="s">
        <v>57</v>
      </c>
      <c r="F213" s="43" t="s">
        <v>123</v>
      </c>
      <c r="G213" s="161" t="s">
        <v>390</v>
      </c>
    </row>
    <row r="214" ht="15.75" hidden="1" customHeight="1">
      <c r="A214" s="171">
        <v>176.0</v>
      </c>
      <c r="B214" s="169">
        <v>46172.0</v>
      </c>
      <c r="C214" s="170">
        <v>190.0</v>
      </c>
      <c r="D214" s="43" t="s">
        <v>374</v>
      </c>
      <c r="E214" s="43" t="s">
        <v>57</v>
      </c>
      <c r="F214" s="43" t="s">
        <v>123</v>
      </c>
      <c r="G214" s="172" t="s">
        <v>391</v>
      </c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ht="15.75" hidden="1" customHeight="1">
      <c r="A215" s="171">
        <v>176.0</v>
      </c>
      <c r="B215" s="169">
        <v>46149.0</v>
      </c>
      <c r="C215" s="170">
        <v>152.0</v>
      </c>
      <c r="D215" s="43" t="s">
        <v>392</v>
      </c>
      <c r="E215" s="43" t="s">
        <v>57</v>
      </c>
      <c r="F215" s="43" t="s">
        <v>123</v>
      </c>
      <c r="G215" s="172" t="s">
        <v>393</v>
      </c>
    </row>
    <row r="216" ht="15.75" hidden="1" customHeight="1">
      <c r="A216" s="171">
        <v>176.0</v>
      </c>
      <c r="B216" s="169">
        <v>46152.0</v>
      </c>
      <c r="C216" s="170">
        <v>144.5</v>
      </c>
      <c r="D216" s="43" t="s">
        <v>392</v>
      </c>
      <c r="E216" s="43" t="s">
        <v>57</v>
      </c>
      <c r="F216" s="43" t="s">
        <v>123</v>
      </c>
      <c r="G216" s="172" t="s">
        <v>394</v>
      </c>
    </row>
    <row r="217" ht="15.75" hidden="1" customHeight="1">
      <c r="A217" s="171">
        <v>176.0</v>
      </c>
      <c r="B217" s="169">
        <v>46144.0</v>
      </c>
      <c r="C217" s="170">
        <v>200.0</v>
      </c>
      <c r="D217" s="43" t="s">
        <v>395</v>
      </c>
      <c r="E217" s="43" t="s">
        <v>57</v>
      </c>
      <c r="F217" s="43" t="s">
        <v>123</v>
      </c>
      <c r="G217" s="172" t="s">
        <v>376</v>
      </c>
    </row>
    <row r="218" ht="15.75" hidden="1" customHeight="1">
      <c r="A218" s="168">
        <v>176.0</v>
      </c>
      <c r="B218" s="169">
        <v>46145.0</v>
      </c>
      <c r="C218" s="170">
        <v>200.0</v>
      </c>
      <c r="D218" s="43" t="s">
        <v>395</v>
      </c>
      <c r="E218" s="43" t="s">
        <v>57</v>
      </c>
      <c r="F218" s="43" t="s">
        <v>123</v>
      </c>
      <c r="G218" s="172" t="s">
        <v>376</v>
      </c>
    </row>
    <row r="219" ht="15.75" customHeight="1">
      <c r="A219" s="162">
        <v>178.0</v>
      </c>
      <c r="B219" s="163">
        <v>46153.0</v>
      </c>
      <c r="C219" s="164">
        <f t="shared" ref="C219:C221" si="1">3723/3</f>
        <v>1241</v>
      </c>
      <c r="D219" s="165" t="s">
        <v>396</v>
      </c>
      <c r="E219" s="43" t="s">
        <v>58</v>
      </c>
      <c r="F219" s="166" t="s">
        <v>124</v>
      </c>
      <c r="G219" s="193"/>
    </row>
    <row r="220" ht="15.75" customHeight="1">
      <c r="A220" s="162">
        <v>178.0</v>
      </c>
      <c r="B220" s="163">
        <v>46153.0</v>
      </c>
      <c r="C220" s="164">
        <f t="shared" si="1"/>
        <v>1241</v>
      </c>
      <c r="D220" s="165" t="s">
        <v>397</v>
      </c>
      <c r="E220" s="43" t="s">
        <v>59</v>
      </c>
      <c r="F220" s="166" t="s">
        <v>124</v>
      </c>
      <c r="G220" s="193"/>
    </row>
    <row r="221" ht="15.75" customHeight="1">
      <c r="A221" s="162">
        <v>178.0</v>
      </c>
      <c r="B221" s="163">
        <v>46153.0</v>
      </c>
      <c r="C221" s="164">
        <f t="shared" si="1"/>
        <v>1241</v>
      </c>
      <c r="D221" s="165" t="s">
        <v>398</v>
      </c>
      <c r="E221" s="43" t="s">
        <v>8</v>
      </c>
      <c r="F221" s="166" t="s">
        <v>124</v>
      </c>
      <c r="G221" s="193">
        <v>110501.0</v>
      </c>
    </row>
    <row r="222" ht="15.75" hidden="1" customHeight="1">
      <c r="A222" s="171">
        <v>176.0</v>
      </c>
      <c r="B222" s="169">
        <v>46147.0</v>
      </c>
      <c r="C222" s="170">
        <v>200.0</v>
      </c>
      <c r="D222" s="43" t="s">
        <v>395</v>
      </c>
      <c r="E222" s="43" t="s">
        <v>57</v>
      </c>
      <c r="F222" s="43" t="s">
        <v>123</v>
      </c>
      <c r="G222" s="161" t="s">
        <v>377</v>
      </c>
    </row>
    <row r="223" ht="15.75" hidden="1" customHeight="1">
      <c r="A223" s="171">
        <v>176.0</v>
      </c>
      <c r="B223" s="169">
        <v>46148.0</v>
      </c>
      <c r="C223" s="170">
        <v>200.0</v>
      </c>
      <c r="D223" s="43" t="s">
        <v>395</v>
      </c>
      <c r="E223" s="43" t="s">
        <v>57</v>
      </c>
      <c r="F223" s="43" t="s">
        <v>123</v>
      </c>
      <c r="G223" s="194" t="s">
        <v>399</v>
      </c>
    </row>
    <row r="224" ht="15.75" hidden="1" customHeight="1">
      <c r="A224" s="171">
        <v>176.0</v>
      </c>
      <c r="B224" s="169">
        <v>46151.0</v>
      </c>
      <c r="C224" s="170">
        <v>200.0</v>
      </c>
      <c r="D224" s="43" t="s">
        <v>395</v>
      </c>
      <c r="E224" s="43" t="s">
        <v>57</v>
      </c>
      <c r="F224" s="43" t="s">
        <v>123</v>
      </c>
      <c r="G224" s="194" t="s">
        <v>400</v>
      </c>
    </row>
    <row r="225" ht="15.75" hidden="1" customHeight="1">
      <c r="A225" s="168">
        <v>176.0</v>
      </c>
      <c r="B225" s="169">
        <v>46152.0</v>
      </c>
      <c r="C225" s="170">
        <v>200.0</v>
      </c>
      <c r="D225" s="43" t="s">
        <v>395</v>
      </c>
      <c r="E225" s="43" t="s">
        <v>57</v>
      </c>
      <c r="F225" s="43" t="s">
        <v>123</v>
      </c>
      <c r="G225" s="172" t="s">
        <v>401</v>
      </c>
    </row>
    <row r="226" ht="15.75" customHeight="1">
      <c r="A226" s="162">
        <v>178.0</v>
      </c>
      <c r="B226" s="163">
        <v>46155.0</v>
      </c>
      <c r="C226" s="164">
        <v>297.0</v>
      </c>
      <c r="D226" s="165" t="s">
        <v>402</v>
      </c>
      <c r="E226" s="43" t="s">
        <v>8</v>
      </c>
      <c r="F226" s="166" t="s">
        <v>88</v>
      </c>
      <c r="G226" s="193">
        <v>1305.0</v>
      </c>
    </row>
    <row r="227" ht="15.75" hidden="1" customHeight="1">
      <c r="A227" s="171">
        <v>176.0</v>
      </c>
      <c r="B227" s="169">
        <v>46144.0</v>
      </c>
      <c r="C227" s="170">
        <v>180.0</v>
      </c>
      <c r="D227" s="43" t="s">
        <v>403</v>
      </c>
      <c r="E227" s="43" t="s">
        <v>57</v>
      </c>
      <c r="F227" s="43" t="s">
        <v>123</v>
      </c>
      <c r="G227" s="172" t="s">
        <v>376</v>
      </c>
    </row>
    <row r="228" ht="15.75" hidden="1" customHeight="1">
      <c r="A228" s="171">
        <v>176.0</v>
      </c>
      <c r="B228" s="169">
        <v>46145.0</v>
      </c>
      <c r="C228" s="170">
        <v>160.0</v>
      </c>
      <c r="D228" s="43" t="s">
        <v>403</v>
      </c>
      <c r="E228" s="43" t="s">
        <v>57</v>
      </c>
      <c r="F228" s="43" t="s">
        <v>123</v>
      </c>
      <c r="G228" s="161" t="s">
        <v>376</v>
      </c>
    </row>
    <row r="229" ht="15.75" hidden="1" customHeight="1">
      <c r="A229" s="168">
        <v>176.0</v>
      </c>
      <c r="B229" s="169">
        <v>46145.0</v>
      </c>
      <c r="C229" s="170">
        <v>300.0</v>
      </c>
      <c r="D229" s="43" t="s">
        <v>403</v>
      </c>
      <c r="E229" s="43" t="s">
        <v>57</v>
      </c>
      <c r="F229" s="43" t="s">
        <v>123</v>
      </c>
      <c r="G229" s="161" t="s">
        <v>404</v>
      </c>
    </row>
    <row r="230" ht="15.75" hidden="1" customHeight="1">
      <c r="A230" s="171">
        <v>176.0</v>
      </c>
      <c r="B230" s="169">
        <v>46147.0</v>
      </c>
      <c r="C230" s="170">
        <v>180.0</v>
      </c>
      <c r="D230" s="43" t="s">
        <v>403</v>
      </c>
      <c r="E230" s="43" t="s">
        <v>57</v>
      </c>
      <c r="F230" s="43" t="s">
        <v>123</v>
      </c>
      <c r="G230" s="161" t="s">
        <v>376</v>
      </c>
    </row>
    <row r="231" ht="15.75" hidden="1" customHeight="1">
      <c r="A231" s="171">
        <v>176.0</v>
      </c>
      <c r="B231" s="169">
        <v>46147.0</v>
      </c>
      <c r="C231" s="170">
        <v>200.0</v>
      </c>
      <c r="D231" s="43" t="s">
        <v>403</v>
      </c>
      <c r="E231" s="43" t="s">
        <v>57</v>
      </c>
      <c r="F231" s="43" t="s">
        <v>123</v>
      </c>
      <c r="G231" s="161" t="s">
        <v>377</v>
      </c>
    </row>
    <row r="232" ht="15.75" hidden="1" customHeight="1">
      <c r="A232" s="171">
        <v>176.0</v>
      </c>
      <c r="B232" s="169">
        <v>46148.0</v>
      </c>
      <c r="C232" s="170">
        <v>180.0</v>
      </c>
      <c r="D232" s="43" t="s">
        <v>403</v>
      </c>
      <c r="E232" s="43" t="s">
        <v>57</v>
      </c>
      <c r="F232" s="43" t="s">
        <v>123</v>
      </c>
      <c r="G232" s="172" t="s">
        <v>399</v>
      </c>
    </row>
    <row r="233" ht="15.75" hidden="1" customHeight="1">
      <c r="A233" s="168">
        <v>176.0</v>
      </c>
      <c r="B233" s="169">
        <v>46149.0</v>
      </c>
      <c r="C233" s="170">
        <v>150.0</v>
      </c>
      <c r="D233" s="43" t="s">
        <v>403</v>
      </c>
      <c r="E233" s="43" t="s">
        <v>57</v>
      </c>
      <c r="F233" s="43" t="s">
        <v>123</v>
      </c>
      <c r="G233" s="161" t="s">
        <v>405</v>
      </c>
    </row>
    <row r="234" ht="15.75" hidden="1" customHeight="1">
      <c r="A234" s="171">
        <v>176.0</v>
      </c>
      <c r="B234" s="169">
        <v>46150.0</v>
      </c>
      <c r="C234" s="170">
        <v>200.0</v>
      </c>
      <c r="D234" s="43" t="s">
        <v>403</v>
      </c>
      <c r="E234" s="43" t="s">
        <v>57</v>
      </c>
      <c r="F234" s="43" t="s">
        <v>123</v>
      </c>
      <c r="G234" s="172" t="s">
        <v>406</v>
      </c>
    </row>
    <row r="235" ht="15.75" customHeight="1">
      <c r="A235" s="162">
        <v>178.0</v>
      </c>
      <c r="B235" s="163">
        <v>46156.0</v>
      </c>
      <c r="C235" s="164">
        <v>260.0</v>
      </c>
      <c r="D235" s="165" t="s">
        <v>407</v>
      </c>
      <c r="E235" s="43" t="s">
        <v>59</v>
      </c>
      <c r="F235" s="166" t="s">
        <v>127</v>
      </c>
      <c r="G235" s="193">
        <v>1415.0</v>
      </c>
    </row>
    <row r="236" ht="15.75" customHeight="1">
      <c r="A236" s="162">
        <v>178.0</v>
      </c>
      <c r="B236" s="163">
        <v>46156.0</v>
      </c>
      <c r="C236" s="164">
        <v>260.0</v>
      </c>
      <c r="D236" s="165" t="s">
        <v>408</v>
      </c>
      <c r="E236" s="43" t="s">
        <v>59</v>
      </c>
      <c r="F236" s="166" t="s">
        <v>127</v>
      </c>
      <c r="G236" s="193">
        <v>1414.0</v>
      </c>
    </row>
    <row r="237" ht="15.75" customHeight="1">
      <c r="A237" s="162">
        <v>178.0</v>
      </c>
      <c r="B237" s="163">
        <v>46156.0</v>
      </c>
      <c r="C237" s="164">
        <v>100.0</v>
      </c>
      <c r="D237" s="165" t="s">
        <v>409</v>
      </c>
      <c r="E237" s="43" t="s">
        <v>58</v>
      </c>
      <c r="F237" s="166" t="s">
        <v>151</v>
      </c>
      <c r="G237" s="193">
        <v>1410.0</v>
      </c>
    </row>
    <row r="238" ht="15.75" customHeight="1">
      <c r="A238" s="162">
        <v>178.0</v>
      </c>
      <c r="B238" s="163">
        <v>46156.0</v>
      </c>
      <c r="C238" s="164">
        <v>100.0</v>
      </c>
      <c r="D238" s="165" t="s">
        <v>410</v>
      </c>
      <c r="E238" s="43" t="s">
        <v>59</v>
      </c>
      <c r="F238" s="166" t="s">
        <v>151</v>
      </c>
      <c r="G238" s="193">
        <v>1409.0</v>
      </c>
    </row>
    <row r="239" ht="15.75" customHeight="1">
      <c r="A239" s="162">
        <v>178.0</v>
      </c>
      <c r="B239" s="163">
        <v>46156.0</v>
      </c>
      <c r="C239" s="164">
        <v>100.0</v>
      </c>
      <c r="D239" s="165" t="s">
        <v>411</v>
      </c>
      <c r="E239" s="43" t="s">
        <v>8</v>
      </c>
      <c r="F239" s="166" t="s">
        <v>151</v>
      </c>
      <c r="G239" s="193">
        <v>1408.0</v>
      </c>
    </row>
    <row r="240" ht="15.75" customHeight="1">
      <c r="A240" s="162">
        <v>178.0</v>
      </c>
      <c r="B240" s="163">
        <v>46156.0</v>
      </c>
      <c r="C240" s="164">
        <v>100.0</v>
      </c>
      <c r="D240" s="165" t="s">
        <v>412</v>
      </c>
      <c r="E240" s="43" t="s">
        <v>58</v>
      </c>
      <c r="F240" s="166" t="s">
        <v>151</v>
      </c>
      <c r="G240" s="193">
        <v>1407.0</v>
      </c>
    </row>
    <row r="241" ht="15.75" customHeight="1">
      <c r="A241" s="162">
        <v>178.0</v>
      </c>
      <c r="B241" s="163">
        <v>46156.0</v>
      </c>
      <c r="C241" s="164">
        <v>100.0</v>
      </c>
      <c r="D241" s="165" t="s">
        <v>413</v>
      </c>
      <c r="E241" s="43" t="s">
        <v>59</v>
      </c>
      <c r="F241" s="166" t="s">
        <v>151</v>
      </c>
      <c r="G241" s="193">
        <v>1407.0</v>
      </c>
    </row>
    <row r="242" ht="15.75" customHeight="1">
      <c r="A242" s="162">
        <v>178.0</v>
      </c>
      <c r="B242" s="163">
        <v>46156.0</v>
      </c>
      <c r="C242" s="164">
        <v>100.0</v>
      </c>
      <c r="D242" s="165" t="s">
        <v>414</v>
      </c>
      <c r="E242" s="43" t="s">
        <v>8</v>
      </c>
      <c r="F242" s="166" t="s">
        <v>151</v>
      </c>
      <c r="G242" s="193">
        <v>1406.0</v>
      </c>
    </row>
    <row r="243" ht="15.75" customHeight="1">
      <c r="A243" s="162">
        <v>178.0</v>
      </c>
      <c r="B243" s="163">
        <v>46156.0</v>
      </c>
      <c r="C243" s="164">
        <v>232.5</v>
      </c>
      <c r="D243" s="165" t="s">
        <v>415</v>
      </c>
      <c r="E243" s="43" t="s">
        <v>59</v>
      </c>
      <c r="F243" s="166" t="s">
        <v>124</v>
      </c>
      <c r="G243" s="193">
        <v>1413.0</v>
      </c>
    </row>
    <row r="244" ht="15.75" customHeight="1">
      <c r="A244" s="162">
        <v>178.0</v>
      </c>
      <c r="B244" s="163">
        <v>46156.0</v>
      </c>
      <c r="C244" s="164">
        <v>150.0</v>
      </c>
      <c r="D244" s="165" t="s">
        <v>416</v>
      </c>
      <c r="E244" s="43" t="s">
        <v>8</v>
      </c>
      <c r="F244" s="166" t="s">
        <v>151</v>
      </c>
      <c r="G244" s="193">
        <v>1411.0</v>
      </c>
    </row>
    <row r="245" ht="15.75" hidden="1" customHeight="1">
      <c r="A245" s="171">
        <v>176.0</v>
      </c>
      <c r="B245" s="169">
        <v>46152.0</v>
      </c>
      <c r="C245" s="170">
        <v>150.0</v>
      </c>
      <c r="D245" s="43" t="s">
        <v>403</v>
      </c>
      <c r="E245" s="43" t="s">
        <v>57</v>
      </c>
      <c r="F245" s="43" t="s">
        <v>123</v>
      </c>
      <c r="G245" s="172" t="s">
        <v>379</v>
      </c>
    </row>
    <row r="246" ht="15.75" hidden="1" customHeight="1">
      <c r="A246" s="171">
        <v>176.0</v>
      </c>
      <c r="B246" s="169">
        <v>46158.0</v>
      </c>
      <c r="C246" s="170">
        <v>190.0</v>
      </c>
      <c r="D246" s="43" t="s">
        <v>403</v>
      </c>
      <c r="E246" s="43" t="s">
        <v>57</v>
      </c>
      <c r="F246" s="43" t="s">
        <v>123</v>
      </c>
      <c r="G246" s="161" t="s">
        <v>381</v>
      </c>
    </row>
    <row r="247" ht="15.75" customHeight="1">
      <c r="A247" s="162">
        <v>178.0</v>
      </c>
      <c r="B247" s="163">
        <v>46156.0</v>
      </c>
      <c r="C247" s="164">
        <f t="shared" ref="C247:C249" si="2">886.05/3</f>
        <v>295.35</v>
      </c>
      <c r="D247" s="165" t="s">
        <v>417</v>
      </c>
      <c r="E247" s="43" t="s">
        <v>58</v>
      </c>
      <c r="F247" s="166" t="s">
        <v>70</v>
      </c>
      <c r="G247" s="193"/>
    </row>
    <row r="248" ht="15.75" customHeight="1">
      <c r="A248" s="162">
        <v>178.0</v>
      </c>
      <c r="B248" s="163">
        <v>46156.0</v>
      </c>
      <c r="C248" s="164">
        <f t="shared" si="2"/>
        <v>295.35</v>
      </c>
      <c r="D248" s="165" t="s">
        <v>418</v>
      </c>
      <c r="E248" s="43" t="s">
        <v>8</v>
      </c>
      <c r="F248" s="166" t="s">
        <v>70</v>
      </c>
      <c r="G248" s="193"/>
    </row>
    <row r="249" ht="15.75" customHeight="1">
      <c r="A249" s="162">
        <v>178.0</v>
      </c>
      <c r="B249" s="163">
        <v>46156.0</v>
      </c>
      <c r="C249" s="164">
        <f t="shared" si="2"/>
        <v>295.35</v>
      </c>
      <c r="D249" s="165" t="s">
        <v>419</v>
      </c>
      <c r="E249" s="43" t="s">
        <v>59</v>
      </c>
      <c r="F249" s="166" t="s">
        <v>70</v>
      </c>
      <c r="G249" s="193">
        <v>1405.0</v>
      </c>
    </row>
    <row r="250" ht="15.75" hidden="1" customHeight="1">
      <c r="A250" s="171">
        <v>176.0</v>
      </c>
      <c r="B250" s="169">
        <v>46159.0</v>
      </c>
      <c r="C250" s="170">
        <v>190.0</v>
      </c>
      <c r="D250" s="43" t="s">
        <v>403</v>
      </c>
      <c r="E250" s="43" t="s">
        <v>57</v>
      </c>
      <c r="F250" s="43" t="s">
        <v>123</v>
      </c>
      <c r="G250" s="172" t="s">
        <v>376</v>
      </c>
    </row>
    <row r="251" ht="15.75" hidden="1" customHeight="1">
      <c r="A251" s="171">
        <v>176.0</v>
      </c>
      <c r="B251" s="169">
        <v>46162.0</v>
      </c>
      <c r="C251" s="170">
        <v>150.0</v>
      </c>
      <c r="D251" s="43" t="s">
        <v>403</v>
      </c>
      <c r="E251" s="43" t="s">
        <v>57</v>
      </c>
      <c r="F251" s="43" t="s">
        <v>123</v>
      </c>
      <c r="G251" s="172" t="s">
        <v>420</v>
      </c>
    </row>
    <row r="252" ht="15.75" hidden="1" customHeight="1">
      <c r="A252" s="168">
        <v>176.0</v>
      </c>
      <c r="B252" s="169">
        <v>46162.0</v>
      </c>
      <c r="C252" s="170">
        <v>210.0</v>
      </c>
      <c r="D252" s="43" t="s">
        <v>403</v>
      </c>
      <c r="E252" s="43" t="s">
        <v>57</v>
      </c>
      <c r="F252" s="43" t="s">
        <v>123</v>
      </c>
      <c r="G252" s="161" t="s">
        <v>385</v>
      </c>
    </row>
    <row r="253" ht="15.75" hidden="1" customHeight="1">
      <c r="A253" s="168">
        <v>176.0</v>
      </c>
      <c r="B253" s="169">
        <v>46163.0</v>
      </c>
      <c r="C253" s="170">
        <v>200.0</v>
      </c>
      <c r="D253" s="43" t="s">
        <v>403</v>
      </c>
      <c r="E253" s="43" t="s">
        <v>57</v>
      </c>
      <c r="F253" s="43" t="s">
        <v>123</v>
      </c>
      <c r="G253" s="161" t="s">
        <v>387</v>
      </c>
    </row>
    <row r="254" ht="15.75" hidden="1" customHeight="1">
      <c r="A254" s="171">
        <v>176.0</v>
      </c>
      <c r="B254" s="169">
        <v>46164.0</v>
      </c>
      <c r="C254" s="170">
        <v>180.0</v>
      </c>
      <c r="D254" s="43" t="s">
        <v>403</v>
      </c>
      <c r="E254" s="43" t="s">
        <v>57</v>
      </c>
      <c r="F254" s="43" t="s">
        <v>123</v>
      </c>
      <c r="G254" s="161" t="s">
        <v>389</v>
      </c>
    </row>
    <row r="255" ht="15.75" hidden="1" customHeight="1">
      <c r="A255" s="168">
        <v>176.0</v>
      </c>
      <c r="B255" s="169">
        <v>46165.0</v>
      </c>
      <c r="C255" s="170">
        <v>210.0</v>
      </c>
      <c r="D255" s="43" t="s">
        <v>403</v>
      </c>
      <c r="E255" s="43" t="s">
        <v>57</v>
      </c>
      <c r="F255" s="43" t="s">
        <v>123</v>
      </c>
      <c r="G255" s="161" t="s">
        <v>337</v>
      </c>
    </row>
    <row r="256" ht="15.75" hidden="1" customHeight="1">
      <c r="A256" s="168">
        <v>176.0</v>
      </c>
      <c r="B256" s="169">
        <v>46172.0</v>
      </c>
      <c r="C256" s="170">
        <v>165.0</v>
      </c>
      <c r="D256" s="43" t="s">
        <v>403</v>
      </c>
      <c r="E256" s="43" t="s">
        <v>57</v>
      </c>
      <c r="F256" s="43" t="s">
        <v>123</v>
      </c>
      <c r="G256" s="172" t="s">
        <v>391</v>
      </c>
    </row>
    <row r="257" ht="15.75" customHeight="1">
      <c r="A257" s="162">
        <v>178.0</v>
      </c>
      <c r="B257" s="163">
        <v>46157.0</v>
      </c>
      <c r="C257" s="164">
        <v>170.0</v>
      </c>
      <c r="D257" s="165" t="s">
        <v>421</v>
      </c>
      <c r="E257" s="43" t="s">
        <v>58</v>
      </c>
      <c r="F257" s="43" t="s">
        <v>125</v>
      </c>
      <c r="G257" s="193">
        <v>1505.0</v>
      </c>
    </row>
    <row r="258" ht="15.75" hidden="1" customHeight="1">
      <c r="A258" s="168">
        <v>176.0</v>
      </c>
      <c r="B258" s="169">
        <v>46172.0</v>
      </c>
      <c r="C258" s="170">
        <v>225.0</v>
      </c>
      <c r="D258" s="43" t="s">
        <v>403</v>
      </c>
      <c r="E258" s="43" t="s">
        <v>57</v>
      </c>
      <c r="F258" s="43" t="s">
        <v>123</v>
      </c>
      <c r="G258" s="161" t="s">
        <v>422</v>
      </c>
    </row>
    <row r="259" ht="15.75" hidden="1" customHeight="1">
      <c r="A259" s="171">
        <v>176.0</v>
      </c>
      <c r="B259" s="169">
        <v>46148.0</v>
      </c>
      <c r="C259" s="170">
        <v>190.0</v>
      </c>
      <c r="D259" s="43" t="s">
        <v>423</v>
      </c>
      <c r="E259" s="43" t="s">
        <v>57</v>
      </c>
      <c r="F259" s="43" t="s">
        <v>123</v>
      </c>
      <c r="G259" s="173" t="s">
        <v>399</v>
      </c>
    </row>
    <row r="260" ht="15.75" hidden="1" customHeight="1">
      <c r="A260" s="168">
        <v>176.0</v>
      </c>
      <c r="B260" s="169">
        <v>46159.0</v>
      </c>
      <c r="C260" s="170">
        <v>190.0</v>
      </c>
      <c r="D260" s="43" t="s">
        <v>423</v>
      </c>
      <c r="E260" s="43" t="s">
        <v>57</v>
      </c>
      <c r="F260" s="43" t="s">
        <v>123</v>
      </c>
      <c r="G260" s="172" t="s">
        <v>376</v>
      </c>
    </row>
    <row r="261" ht="15.75" customHeight="1">
      <c r="A261" s="188">
        <v>178.0</v>
      </c>
      <c r="B261" s="195">
        <v>46157.0</v>
      </c>
      <c r="C261" s="186">
        <f t="shared" ref="C261:C262" si="3">1963.05/2</f>
        <v>981.525</v>
      </c>
      <c r="D261" s="187" t="s">
        <v>364</v>
      </c>
      <c r="E261" s="188" t="s">
        <v>58</v>
      </c>
      <c r="F261" s="188" t="s">
        <v>89</v>
      </c>
      <c r="G261" s="196" t="s">
        <v>424</v>
      </c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ht="15.75" customHeight="1">
      <c r="A262" s="188">
        <v>178.0</v>
      </c>
      <c r="B262" s="195">
        <v>46157.0</v>
      </c>
      <c r="C262" s="186">
        <f t="shared" si="3"/>
        <v>981.525</v>
      </c>
      <c r="D262" s="187" t="s">
        <v>364</v>
      </c>
      <c r="E262" s="188" t="s">
        <v>59</v>
      </c>
      <c r="F262" s="188" t="s">
        <v>89</v>
      </c>
      <c r="G262" s="196" t="s">
        <v>425</v>
      </c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ht="15.75" customHeight="1">
      <c r="A263" s="188">
        <v>178.0</v>
      </c>
      <c r="B263" s="195">
        <v>46157.0</v>
      </c>
      <c r="C263" s="186">
        <v>1558.23</v>
      </c>
      <c r="D263" s="187" t="s">
        <v>364</v>
      </c>
      <c r="E263" s="188" t="s">
        <v>8</v>
      </c>
      <c r="F263" s="188" t="s">
        <v>89</v>
      </c>
      <c r="G263" s="196" t="s">
        <v>426</v>
      </c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ht="15.75" customHeight="1">
      <c r="A264" s="188">
        <v>178.0</v>
      </c>
      <c r="B264" s="195">
        <v>46157.0</v>
      </c>
      <c r="C264" s="186">
        <v>658.59</v>
      </c>
      <c r="D264" s="187" t="s">
        <v>365</v>
      </c>
      <c r="E264" s="188" t="s">
        <v>8</v>
      </c>
      <c r="F264" s="188" t="s">
        <v>89</v>
      </c>
      <c r="G264" s="197" t="s">
        <v>427</v>
      </c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ht="15.75" customHeight="1">
      <c r="A265" s="188">
        <v>178.0</v>
      </c>
      <c r="B265" s="195">
        <v>46157.0</v>
      </c>
      <c r="C265" s="186">
        <f t="shared" ref="C265:C266" si="4">5082.43/2</f>
        <v>2541.215</v>
      </c>
      <c r="D265" s="187" t="s">
        <v>365</v>
      </c>
      <c r="E265" s="188" t="s">
        <v>58</v>
      </c>
      <c r="F265" s="188" t="s">
        <v>89</v>
      </c>
      <c r="G265" s="198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ht="15.75" customHeight="1">
      <c r="A266" s="188">
        <v>178.0</v>
      </c>
      <c r="B266" s="195">
        <v>46157.0</v>
      </c>
      <c r="C266" s="186">
        <f t="shared" si="4"/>
        <v>2541.215</v>
      </c>
      <c r="D266" s="187" t="s">
        <v>365</v>
      </c>
      <c r="E266" s="188" t="s">
        <v>59</v>
      </c>
      <c r="F266" s="188" t="s">
        <v>89</v>
      </c>
      <c r="G266" s="197" t="s">
        <v>428</v>
      </c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ht="15.75" customHeight="1">
      <c r="A267" s="43">
        <v>178.0</v>
      </c>
      <c r="B267" s="88">
        <v>46157.0</v>
      </c>
      <c r="C267" s="199">
        <v>52.8</v>
      </c>
      <c r="D267" s="91" t="s">
        <v>429</v>
      </c>
      <c r="E267" s="43" t="s">
        <v>58</v>
      </c>
      <c r="F267" s="43" t="s">
        <v>84</v>
      </c>
      <c r="G267" s="161"/>
    </row>
    <row r="268" ht="15.75" customHeight="1">
      <c r="A268" s="43">
        <v>178.0</v>
      </c>
      <c r="B268" s="88">
        <v>46157.0</v>
      </c>
      <c r="C268" s="199">
        <v>47.8</v>
      </c>
      <c r="D268" s="91" t="s">
        <v>430</v>
      </c>
      <c r="E268" s="43" t="s">
        <v>59</v>
      </c>
      <c r="F268" s="43" t="s">
        <v>84</v>
      </c>
      <c r="G268" s="161"/>
    </row>
    <row r="269" ht="15.75" hidden="1" customHeight="1">
      <c r="A269" s="171">
        <v>176.0</v>
      </c>
      <c r="B269" s="169">
        <v>46152.0</v>
      </c>
      <c r="C269" s="170">
        <v>170.0</v>
      </c>
      <c r="D269" s="43" t="s">
        <v>431</v>
      </c>
      <c r="E269" s="43" t="s">
        <v>57</v>
      </c>
      <c r="F269" s="43" t="s">
        <v>124</v>
      </c>
      <c r="G269" s="172" t="s">
        <v>432</v>
      </c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ht="15.75" hidden="1" customHeight="1">
      <c r="A270" s="171">
        <v>176.0</v>
      </c>
      <c r="B270" s="169">
        <v>46159.0</v>
      </c>
      <c r="C270" s="170">
        <v>127.5</v>
      </c>
      <c r="D270" s="43" t="s">
        <v>431</v>
      </c>
      <c r="E270" s="43" t="s">
        <v>57</v>
      </c>
      <c r="F270" s="43" t="s">
        <v>124</v>
      </c>
      <c r="G270" s="161" t="s">
        <v>257</v>
      </c>
    </row>
    <row r="271" ht="15.75" hidden="1" customHeight="1">
      <c r="A271" s="171">
        <v>176.0</v>
      </c>
      <c r="B271" s="169">
        <v>46148.0</v>
      </c>
      <c r="C271" s="170">
        <v>110.5</v>
      </c>
      <c r="D271" s="43" t="s">
        <v>433</v>
      </c>
      <c r="E271" s="43" t="s">
        <v>57</v>
      </c>
      <c r="F271" s="43" t="s">
        <v>126</v>
      </c>
      <c r="G271" s="173" t="s">
        <v>434</v>
      </c>
    </row>
    <row r="272" ht="15.75" hidden="1" customHeight="1">
      <c r="A272" s="168">
        <v>176.0</v>
      </c>
      <c r="B272" s="169">
        <v>46152.0</v>
      </c>
      <c r="C272" s="170">
        <v>150.0</v>
      </c>
      <c r="D272" s="43" t="s">
        <v>435</v>
      </c>
      <c r="E272" s="43" t="s">
        <v>57</v>
      </c>
      <c r="F272" s="43" t="s">
        <v>126</v>
      </c>
      <c r="G272" s="161" t="s">
        <v>436</v>
      </c>
    </row>
    <row r="273" ht="15.75" hidden="1" customHeight="1">
      <c r="A273" s="171">
        <v>176.0</v>
      </c>
      <c r="B273" s="169">
        <v>46159.0</v>
      </c>
      <c r="C273" s="170">
        <v>150.0</v>
      </c>
      <c r="D273" s="43" t="s">
        <v>435</v>
      </c>
      <c r="E273" s="43" t="s">
        <v>57</v>
      </c>
      <c r="F273" s="43" t="s">
        <v>126</v>
      </c>
      <c r="G273" s="172" t="s">
        <v>437</v>
      </c>
    </row>
    <row r="274" ht="15.75" hidden="1" customHeight="1">
      <c r="A274" s="171">
        <v>176.0</v>
      </c>
      <c r="B274" s="169">
        <v>46166.0</v>
      </c>
      <c r="C274" s="170">
        <v>150.0</v>
      </c>
      <c r="D274" s="43" t="s">
        <v>435</v>
      </c>
      <c r="E274" s="43" t="s">
        <v>57</v>
      </c>
      <c r="F274" s="43" t="s">
        <v>126</v>
      </c>
      <c r="G274" s="172" t="s">
        <v>438</v>
      </c>
    </row>
    <row r="275" ht="15.75" hidden="1" customHeight="1">
      <c r="A275" s="171">
        <v>176.0</v>
      </c>
      <c r="B275" s="169">
        <v>46152.0</v>
      </c>
      <c r="C275" s="170">
        <v>150.0</v>
      </c>
      <c r="D275" s="43" t="s">
        <v>439</v>
      </c>
      <c r="E275" s="43" t="s">
        <v>57</v>
      </c>
      <c r="F275" s="43" t="s">
        <v>126</v>
      </c>
      <c r="G275" s="172" t="s">
        <v>436</v>
      </c>
    </row>
    <row r="276" ht="15.75" hidden="1" customHeight="1">
      <c r="A276" s="171">
        <v>176.0</v>
      </c>
      <c r="B276" s="169">
        <v>46159.0</v>
      </c>
      <c r="C276" s="170">
        <v>160.0</v>
      </c>
      <c r="D276" s="43" t="s">
        <v>439</v>
      </c>
      <c r="E276" s="43" t="s">
        <v>57</v>
      </c>
      <c r="F276" s="43" t="s">
        <v>126</v>
      </c>
      <c r="G276" s="161" t="s">
        <v>437</v>
      </c>
    </row>
    <row r="277" ht="15.75" hidden="1" customHeight="1">
      <c r="A277" s="171">
        <v>176.0</v>
      </c>
      <c r="B277" s="169">
        <v>46166.0</v>
      </c>
      <c r="C277" s="170">
        <v>150.0</v>
      </c>
      <c r="D277" s="43" t="s">
        <v>439</v>
      </c>
      <c r="E277" s="43" t="s">
        <v>57</v>
      </c>
      <c r="F277" s="43" t="s">
        <v>126</v>
      </c>
      <c r="G277" s="172" t="s">
        <v>440</v>
      </c>
    </row>
    <row r="278" ht="15.75" hidden="1" customHeight="1">
      <c r="A278" s="171">
        <v>176.0</v>
      </c>
      <c r="B278" s="169">
        <v>46172.0</v>
      </c>
      <c r="C278" s="170">
        <v>150.0</v>
      </c>
      <c r="D278" s="43" t="s">
        <v>439</v>
      </c>
      <c r="E278" s="43" t="s">
        <v>57</v>
      </c>
      <c r="F278" s="43" t="s">
        <v>126</v>
      </c>
      <c r="G278" s="172" t="s">
        <v>441</v>
      </c>
    </row>
    <row r="279" ht="15.75" hidden="1" customHeight="1">
      <c r="A279" s="171">
        <v>176.0</v>
      </c>
      <c r="B279" s="169">
        <v>46152.0</v>
      </c>
      <c r="C279" s="170">
        <v>178.5</v>
      </c>
      <c r="D279" s="43" t="s">
        <v>442</v>
      </c>
      <c r="E279" s="43" t="s">
        <v>57</v>
      </c>
      <c r="F279" s="43" t="s">
        <v>125</v>
      </c>
      <c r="G279" s="161" t="s">
        <v>443</v>
      </c>
    </row>
    <row r="280" ht="15.75" hidden="1" customHeight="1">
      <c r="A280" s="171">
        <v>176.0</v>
      </c>
      <c r="B280" s="169">
        <v>46159.0</v>
      </c>
      <c r="C280" s="170">
        <v>127.5</v>
      </c>
      <c r="D280" s="43" t="s">
        <v>444</v>
      </c>
      <c r="E280" s="43" t="s">
        <v>57</v>
      </c>
      <c r="F280" s="43" t="s">
        <v>125</v>
      </c>
      <c r="G280" s="161" t="s">
        <v>445</v>
      </c>
    </row>
    <row r="281" ht="15.75" customHeight="1">
      <c r="A281" s="162">
        <v>178.0</v>
      </c>
      <c r="B281" s="163">
        <v>46158.0</v>
      </c>
      <c r="C281" s="164">
        <v>170.0</v>
      </c>
      <c r="D281" s="165" t="s">
        <v>446</v>
      </c>
      <c r="E281" s="43" t="s">
        <v>58</v>
      </c>
      <c r="F281" s="166" t="s">
        <v>124</v>
      </c>
      <c r="G281" s="193">
        <v>1613.0</v>
      </c>
    </row>
    <row r="282" ht="15.75" hidden="1" customHeight="1">
      <c r="A282" s="171">
        <v>176.0</v>
      </c>
      <c r="B282" s="169">
        <v>46159.0</v>
      </c>
      <c r="C282" s="170">
        <v>195.5</v>
      </c>
      <c r="D282" s="43" t="s">
        <v>447</v>
      </c>
      <c r="E282" s="43" t="s">
        <v>57</v>
      </c>
      <c r="F282" s="43" t="s">
        <v>125</v>
      </c>
      <c r="G282" s="172" t="s">
        <v>448</v>
      </c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ht="15.75" hidden="1" customHeight="1">
      <c r="A283" s="171">
        <v>176.0</v>
      </c>
      <c r="B283" s="169">
        <v>46166.0</v>
      </c>
      <c r="C283" s="170">
        <v>178.5</v>
      </c>
      <c r="D283" s="43" t="s">
        <v>447</v>
      </c>
      <c r="E283" s="43" t="s">
        <v>57</v>
      </c>
      <c r="F283" s="43" t="s">
        <v>125</v>
      </c>
      <c r="G283" s="172" t="s">
        <v>449</v>
      </c>
    </row>
    <row r="284" ht="15.75" hidden="1" customHeight="1">
      <c r="A284" s="171">
        <v>176.0</v>
      </c>
      <c r="B284" s="169">
        <v>46173.0</v>
      </c>
      <c r="C284" s="170">
        <v>178.5</v>
      </c>
      <c r="D284" s="43" t="s">
        <v>447</v>
      </c>
      <c r="E284" s="43" t="s">
        <v>57</v>
      </c>
      <c r="F284" s="43" t="s">
        <v>125</v>
      </c>
      <c r="G284" s="172" t="s">
        <v>450</v>
      </c>
    </row>
    <row r="285" ht="15.75" hidden="1" customHeight="1">
      <c r="A285" s="168">
        <v>176.0</v>
      </c>
      <c r="B285" s="169">
        <v>46165.0</v>
      </c>
      <c r="C285" s="170">
        <v>110.5</v>
      </c>
      <c r="D285" s="43" t="s">
        <v>451</v>
      </c>
      <c r="E285" s="43" t="s">
        <v>57</v>
      </c>
      <c r="F285" s="43" t="s">
        <v>125</v>
      </c>
      <c r="G285" s="161" t="s">
        <v>452</v>
      </c>
    </row>
    <row r="286" hidden="1">
      <c r="A286" s="171">
        <v>176.0</v>
      </c>
      <c r="B286" s="169">
        <v>46152.0</v>
      </c>
      <c r="C286" s="170">
        <v>144.5</v>
      </c>
      <c r="D286" s="43" t="s">
        <v>453</v>
      </c>
      <c r="E286" s="43" t="s">
        <v>57</v>
      </c>
      <c r="F286" s="43" t="s">
        <v>125</v>
      </c>
      <c r="G286" s="161" t="s">
        <v>454</v>
      </c>
    </row>
    <row r="287" hidden="1">
      <c r="A287" s="171">
        <v>176.0</v>
      </c>
      <c r="B287" s="169">
        <v>46157.0</v>
      </c>
      <c r="C287" s="170">
        <v>127.5</v>
      </c>
      <c r="D287" s="43" t="s">
        <v>453</v>
      </c>
      <c r="E287" s="43" t="s">
        <v>57</v>
      </c>
      <c r="F287" s="43" t="s">
        <v>125</v>
      </c>
      <c r="G287" s="161" t="s">
        <v>455</v>
      </c>
    </row>
    <row r="288" ht="15.75" hidden="1" customHeight="1">
      <c r="A288" s="171">
        <v>176.0</v>
      </c>
      <c r="B288" s="169">
        <v>46159.0</v>
      </c>
      <c r="C288" s="170">
        <v>127.5</v>
      </c>
      <c r="D288" s="43" t="s">
        <v>453</v>
      </c>
      <c r="E288" s="43" t="s">
        <v>57</v>
      </c>
      <c r="F288" s="43" t="s">
        <v>125</v>
      </c>
      <c r="G288" s="161" t="s">
        <v>456</v>
      </c>
    </row>
    <row r="289" ht="15.75" hidden="1" customHeight="1">
      <c r="A289" s="171">
        <v>176.0</v>
      </c>
      <c r="B289" s="169">
        <v>46162.0</v>
      </c>
      <c r="C289" s="170">
        <v>110.5</v>
      </c>
      <c r="D289" s="43" t="s">
        <v>453</v>
      </c>
      <c r="E289" s="43" t="s">
        <v>57</v>
      </c>
      <c r="F289" s="43" t="s">
        <v>125</v>
      </c>
      <c r="G289" s="172" t="s">
        <v>457</v>
      </c>
    </row>
    <row r="290" ht="15.75" hidden="1" customHeight="1">
      <c r="A290" s="168">
        <v>176.0</v>
      </c>
      <c r="B290" s="169">
        <v>46164.0</v>
      </c>
      <c r="C290" s="170">
        <v>119.0</v>
      </c>
      <c r="D290" s="43" t="s">
        <v>453</v>
      </c>
      <c r="E290" s="43" t="s">
        <v>57</v>
      </c>
      <c r="F290" s="43" t="s">
        <v>125</v>
      </c>
      <c r="G290" s="161" t="s">
        <v>458</v>
      </c>
    </row>
    <row r="291" ht="15.75" hidden="1" customHeight="1">
      <c r="A291" s="171">
        <v>176.0</v>
      </c>
      <c r="B291" s="169">
        <v>46172.0</v>
      </c>
      <c r="C291" s="170">
        <v>85.0</v>
      </c>
      <c r="D291" s="43" t="s">
        <v>453</v>
      </c>
      <c r="E291" s="43" t="s">
        <v>57</v>
      </c>
      <c r="F291" s="43" t="s">
        <v>125</v>
      </c>
      <c r="G291" s="172" t="s">
        <v>242</v>
      </c>
    </row>
    <row r="292" ht="15.75" hidden="1" customHeight="1">
      <c r="A292" s="168">
        <v>176.0</v>
      </c>
      <c r="B292" s="169">
        <v>46152.0</v>
      </c>
      <c r="C292" s="170">
        <v>178.5</v>
      </c>
      <c r="D292" s="43" t="s">
        <v>459</v>
      </c>
      <c r="E292" s="43" t="s">
        <v>57</v>
      </c>
      <c r="F292" s="43" t="s">
        <v>125</v>
      </c>
      <c r="G292" s="180" t="s">
        <v>460</v>
      </c>
    </row>
    <row r="293" ht="15.75" hidden="1" customHeight="1">
      <c r="A293" s="168">
        <v>176.0</v>
      </c>
      <c r="B293" s="169">
        <v>46151.0</v>
      </c>
      <c r="C293" s="170">
        <v>153.0</v>
      </c>
      <c r="D293" s="183" t="s">
        <v>461</v>
      </c>
      <c r="E293" s="43" t="s">
        <v>57</v>
      </c>
      <c r="F293" s="43" t="s">
        <v>125</v>
      </c>
      <c r="G293" s="172" t="s">
        <v>462</v>
      </c>
    </row>
    <row r="294" ht="15.75" hidden="1" customHeight="1">
      <c r="A294" s="171">
        <v>176.0</v>
      </c>
      <c r="B294" s="169">
        <v>46151.0</v>
      </c>
      <c r="C294" s="170">
        <v>177.0</v>
      </c>
      <c r="D294" s="43" t="s">
        <v>463</v>
      </c>
      <c r="E294" s="43" t="s">
        <v>57</v>
      </c>
      <c r="F294" s="43" t="s">
        <v>125</v>
      </c>
      <c r="G294" s="172" t="s">
        <v>464</v>
      </c>
    </row>
    <row r="295" ht="15.75" hidden="1" customHeight="1">
      <c r="A295" s="168">
        <v>176.0</v>
      </c>
      <c r="B295" s="169">
        <v>46167.0</v>
      </c>
      <c r="C295" s="170">
        <v>202.5</v>
      </c>
      <c r="D295" s="43" t="s">
        <v>463</v>
      </c>
      <c r="E295" s="43" t="s">
        <v>57</v>
      </c>
      <c r="F295" s="43" t="s">
        <v>125</v>
      </c>
      <c r="G295" s="161" t="s">
        <v>465</v>
      </c>
    </row>
    <row r="296" ht="15.75" hidden="1" customHeight="1">
      <c r="A296" s="168">
        <v>176.0</v>
      </c>
      <c r="B296" s="169">
        <v>46148.0</v>
      </c>
      <c r="C296" s="170">
        <v>178.5</v>
      </c>
      <c r="D296" s="43" t="s">
        <v>466</v>
      </c>
      <c r="E296" s="43" t="s">
        <v>57</v>
      </c>
      <c r="F296" s="43" t="s">
        <v>125</v>
      </c>
      <c r="G296" s="161" t="s">
        <v>467</v>
      </c>
    </row>
    <row r="297" ht="15.75" hidden="1" customHeight="1">
      <c r="A297" s="171">
        <v>176.0</v>
      </c>
      <c r="B297" s="169">
        <v>46148.0</v>
      </c>
      <c r="C297" s="170">
        <v>170.0</v>
      </c>
      <c r="D297" s="43" t="s">
        <v>468</v>
      </c>
      <c r="E297" s="43" t="s">
        <v>57</v>
      </c>
      <c r="F297" s="43" t="s">
        <v>125</v>
      </c>
      <c r="G297" s="173" t="s">
        <v>469</v>
      </c>
    </row>
    <row r="298" ht="15.75" hidden="1" customHeight="1">
      <c r="A298" s="171">
        <v>176.0</v>
      </c>
      <c r="B298" s="169">
        <v>46148.0</v>
      </c>
      <c r="C298" s="170">
        <v>110.5</v>
      </c>
      <c r="D298" s="183" t="s">
        <v>470</v>
      </c>
      <c r="E298" s="43" t="s">
        <v>57</v>
      </c>
      <c r="F298" s="43" t="s">
        <v>125</v>
      </c>
      <c r="G298" s="172" t="s">
        <v>255</v>
      </c>
    </row>
    <row r="299" ht="15.75" hidden="1" customHeight="1">
      <c r="A299" s="171">
        <v>176.0</v>
      </c>
      <c r="B299" s="169">
        <v>46148.0</v>
      </c>
      <c r="C299" s="170">
        <v>124.67</v>
      </c>
      <c r="D299" s="43" t="s">
        <v>470</v>
      </c>
      <c r="E299" s="43" t="s">
        <v>57</v>
      </c>
      <c r="F299" s="43" t="s">
        <v>125</v>
      </c>
      <c r="G299" s="172" t="s">
        <v>471</v>
      </c>
    </row>
    <row r="300" ht="15.75" hidden="1" customHeight="1">
      <c r="A300" s="171">
        <v>176.0</v>
      </c>
      <c r="B300" s="169">
        <v>46163.0</v>
      </c>
      <c r="C300" s="170">
        <v>170.0</v>
      </c>
      <c r="D300" s="43" t="s">
        <v>472</v>
      </c>
      <c r="E300" s="43" t="s">
        <v>57</v>
      </c>
      <c r="F300" s="43" t="s">
        <v>125</v>
      </c>
      <c r="G300" s="200" t="s">
        <v>473</v>
      </c>
    </row>
    <row r="301" ht="15.75" customHeight="1">
      <c r="A301" s="162">
        <v>178.0</v>
      </c>
      <c r="B301" s="163">
        <v>46159.0</v>
      </c>
      <c r="C301" s="164">
        <v>170.0</v>
      </c>
      <c r="D301" s="165" t="s">
        <v>474</v>
      </c>
      <c r="E301" s="43" t="s">
        <v>58</v>
      </c>
      <c r="F301" s="43" t="s">
        <v>125</v>
      </c>
      <c r="G301" s="193">
        <v>1720.0</v>
      </c>
    </row>
    <row r="302" ht="15.75" hidden="1" customHeight="1">
      <c r="A302" s="171">
        <v>176.0</v>
      </c>
      <c r="B302" s="169">
        <v>46148.0</v>
      </c>
      <c r="C302" s="170">
        <v>110.5</v>
      </c>
      <c r="D302" s="43" t="s">
        <v>475</v>
      </c>
      <c r="E302" s="43" t="s">
        <v>57</v>
      </c>
      <c r="F302" s="43" t="s">
        <v>125</v>
      </c>
      <c r="G302" s="161" t="s">
        <v>476</v>
      </c>
    </row>
    <row r="303" ht="15.75" hidden="1" customHeight="1">
      <c r="A303" s="168">
        <v>176.0</v>
      </c>
      <c r="B303" s="169">
        <v>46148.0</v>
      </c>
      <c r="C303" s="170">
        <v>187.0</v>
      </c>
      <c r="D303" s="43" t="s">
        <v>475</v>
      </c>
      <c r="E303" s="43" t="s">
        <v>57</v>
      </c>
      <c r="F303" s="43" t="s">
        <v>125</v>
      </c>
      <c r="G303" s="172" t="s">
        <v>477</v>
      </c>
    </row>
    <row r="304" ht="15.75" hidden="1" customHeight="1">
      <c r="A304" s="171">
        <v>176.0</v>
      </c>
      <c r="B304" s="169">
        <v>46157.0</v>
      </c>
      <c r="C304" s="170">
        <v>127.5</v>
      </c>
      <c r="D304" s="43" t="s">
        <v>475</v>
      </c>
      <c r="E304" s="43" t="s">
        <v>57</v>
      </c>
      <c r="F304" s="43" t="s">
        <v>125</v>
      </c>
      <c r="G304" s="161" t="s">
        <v>478</v>
      </c>
    </row>
    <row r="305" ht="15.75" hidden="1" customHeight="1">
      <c r="A305" s="171">
        <v>176.0</v>
      </c>
      <c r="B305" s="169">
        <v>46162.0</v>
      </c>
      <c r="C305" s="170">
        <v>161.5</v>
      </c>
      <c r="D305" s="43" t="s">
        <v>475</v>
      </c>
      <c r="E305" s="43" t="s">
        <v>57</v>
      </c>
      <c r="F305" s="43" t="s">
        <v>125</v>
      </c>
      <c r="G305" s="161" t="s">
        <v>479</v>
      </c>
    </row>
    <row r="306" ht="15.75" hidden="1" customHeight="1">
      <c r="A306" s="171">
        <v>176.0</v>
      </c>
      <c r="B306" s="169">
        <v>46163.0</v>
      </c>
      <c r="C306" s="170">
        <v>161.5</v>
      </c>
      <c r="D306" s="43" t="s">
        <v>475</v>
      </c>
      <c r="E306" s="43" t="s">
        <v>57</v>
      </c>
      <c r="F306" s="43" t="s">
        <v>125</v>
      </c>
      <c r="G306" s="173" t="s">
        <v>480</v>
      </c>
    </row>
    <row r="307" ht="15.75" hidden="1" customHeight="1">
      <c r="A307" s="171">
        <v>176.0</v>
      </c>
      <c r="B307" s="169">
        <v>46164.0</v>
      </c>
      <c r="C307" s="170">
        <v>170.0</v>
      </c>
      <c r="D307" s="43" t="s">
        <v>475</v>
      </c>
      <c r="E307" s="43" t="s">
        <v>57</v>
      </c>
      <c r="F307" s="43" t="s">
        <v>125</v>
      </c>
      <c r="G307" s="172" t="s">
        <v>481</v>
      </c>
    </row>
    <row r="308" ht="15.75" hidden="1" customHeight="1">
      <c r="A308" s="168">
        <v>176.0</v>
      </c>
      <c r="B308" s="169">
        <v>46166.0</v>
      </c>
      <c r="C308" s="170">
        <v>187.0</v>
      </c>
      <c r="D308" s="43" t="s">
        <v>475</v>
      </c>
      <c r="E308" s="43" t="s">
        <v>57</v>
      </c>
      <c r="F308" s="43" t="s">
        <v>125</v>
      </c>
      <c r="G308" s="161" t="s">
        <v>482</v>
      </c>
    </row>
    <row r="309" ht="15.75" hidden="1" customHeight="1">
      <c r="A309" s="171">
        <v>176.0</v>
      </c>
      <c r="B309" s="169">
        <v>46159.0</v>
      </c>
      <c r="C309" s="170">
        <v>178.5</v>
      </c>
      <c r="D309" s="43" t="s">
        <v>483</v>
      </c>
      <c r="E309" s="43" t="s">
        <v>57</v>
      </c>
      <c r="F309" s="43" t="s">
        <v>125</v>
      </c>
      <c r="G309" s="172" t="s">
        <v>484</v>
      </c>
    </row>
    <row r="310" ht="15.75" hidden="1" customHeight="1">
      <c r="A310" s="168">
        <v>176.0</v>
      </c>
      <c r="B310" s="169">
        <v>46164.0</v>
      </c>
      <c r="C310" s="170">
        <v>119.0</v>
      </c>
      <c r="D310" s="43" t="s">
        <v>483</v>
      </c>
      <c r="E310" s="43" t="s">
        <v>57</v>
      </c>
      <c r="F310" s="43" t="s">
        <v>125</v>
      </c>
      <c r="G310" s="161" t="s">
        <v>485</v>
      </c>
    </row>
    <row r="311" ht="15.75" hidden="1" customHeight="1">
      <c r="A311" s="171">
        <v>176.0</v>
      </c>
      <c r="B311" s="169">
        <v>46173.0</v>
      </c>
      <c r="C311" s="170">
        <v>161.5</v>
      </c>
      <c r="D311" s="43" t="s">
        <v>483</v>
      </c>
      <c r="E311" s="43" t="s">
        <v>57</v>
      </c>
      <c r="F311" s="43" t="s">
        <v>125</v>
      </c>
      <c r="G311" s="173" t="s">
        <v>486</v>
      </c>
    </row>
    <row r="312" ht="15.75" hidden="1" customHeight="1">
      <c r="A312" s="171">
        <v>176.0</v>
      </c>
      <c r="B312" s="169">
        <v>46149.0</v>
      </c>
      <c r="C312" s="170">
        <v>130.0</v>
      </c>
      <c r="D312" s="43" t="s">
        <v>487</v>
      </c>
      <c r="E312" s="43" t="s">
        <v>57</v>
      </c>
      <c r="F312" s="43" t="s">
        <v>125</v>
      </c>
      <c r="G312" s="172" t="s">
        <v>488</v>
      </c>
    </row>
    <row r="313" ht="15.75" hidden="1" customHeight="1">
      <c r="A313" s="168">
        <v>176.0</v>
      </c>
      <c r="B313" s="169">
        <v>46151.0</v>
      </c>
      <c r="C313" s="170">
        <v>119.0</v>
      </c>
      <c r="D313" s="43" t="s">
        <v>487</v>
      </c>
      <c r="E313" s="43" t="s">
        <v>57</v>
      </c>
      <c r="F313" s="43" t="s">
        <v>125</v>
      </c>
      <c r="G313" s="161" t="s">
        <v>489</v>
      </c>
    </row>
    <row r="314" ht="15.75" customHeight="1">
      <c r="A314" s="162">
        <v>178.0</v>
      </c>
      <c r="B314" s="163">
        <v>46160.0</v>
      </c>
      <c r="C314" s="164">
        <v>1200.0</v>
      </c>
      <c r="D314" s="165" t="s">
        <v>490</v>
      </c>
      <c r="E314" s="43" t="s">
        <v>58</v>
      </c>
      <c r="F314" s="166" t="s">
        <v>68</v>
      </c>
      <c r="G314" s="193">
        <v>1805.0</v>
      </c>
    </row>
    <row r="315" ht="15.75" hidden="1" customHeight="1">
      <c r="A315" s="171">
        <v>176.0</v>
      </c>
      <c r="B315" s="169">
        <v>46159.0</v>
      </c>
      <c r="C315" s="170">
        <v>127.5</v>
      </c>
      <c r="D315" s="43" t="s">
        <v>487</v>
      </c>
      <c r="E315" s="43" t="s">
        <v>57</v>
      </c>
      <c r="F315" s="43" t="s">
        <v>125</v>
      </c>
      <c r="G315" s="161" t="s">
        <v>491</v>
      </c>
    </row>
    <row r="316" ht="15.75" hidden="1" customHeight="1">
      <c r="A316" s="171">
        <v>176.0</v>
      </c>
      <c r="B316" s="169">
        <v>46171.0</v>
      </c>
      <c r="C316" s="170">
        <v>102.0</v>
      </c>
      <c r="D316" s="43" t="s">
        <v>487</v>
      </c>
      <c r="E316" s="43" t="s">
        <v>57</v>
      </c>
      <c r="F316" s="43" t="s">
        <v>125</v>
      </c>
      <c r="G316" s="172" t="s">
        <v>492</v>
      </c>
    </row>
    <row r="317" ht="15.75" hidden="1" customHeight="1">
      <c r="A317" s="171">
        <v>176.0</v>
      </c>
      <c r="B317" s="169">
        <v>46164.0</v>
      </c>
      <c r="C317" s="170">
        <v>81.86</v>
      </c>
      <c r="D317" s="43" t="s">
        <v>493</v>
      </c>
      <c r="E317" s="43" t="s">
        <v>57</v>
      </c>
      <c r="F317" s="43" t="s">
        <v>125</v>
      </c>
      <c r="G317" s="172" t="s">
        <v>494</v>
      </c>
    </row>
    <row r="318" ht="15.75" hidden="1" customHeight="1">
      <c r="A318" s="168">
        <v>176.0</v>
      </c>
      <c r="B318" s="169">
        <v>46148.0</v>
      </c>
      <c r="C318" s="170">
        <v>124.67</v>
      </c>
      <c r="D318" s="43" t="s">
        <v>495</v>
      </c>
      <c r="E318" s="43" t="s">
        <v>57</v>
      </c>
      <c r="F318" s="43" t="s">
        <v>125</v>
      </c>
      <c r="G318" s="161" t="s">
        <v>496</v>
      </c>
    </row>
    <row r="319" ht="15.75" customHeight="1">
      <c r="A319" s="162">
        <v>178.0</v>
      </c>
      <c r="B319" s="163">
        <v>46161.0</v>
      </c>
      <c r="C319" s="164">
        <v>120.0</v>
      </c>
      <c r="D319" s="165" t="s">
        <v>497</v>
      </c>
      <c r="E319" s="43" t="s">
        <v>58</v>
      </c>
      <c r="F319" s="43" t="s">
        <v>151</v>
      </c>
      <c r="G319" s="178" t="s">
        <v>498</v>
      </c>
    </row>
    <row r="320" ht="15.75" customHeight="1">
      <c r="A320" s="162">
        <v>178.0</v>
      </c>
      <c r="B320" s="163">
        <v>46161.0</v>
      </c>
      <c r="C320" s="164">
        <v>100.0</v>
      </c>
      <c r="D320" s="165" t="s">
        <v>499</v>
      </c>
      <c r="E320" s="43" t="s">
        <v>59</v>
      </c>
      <c r="F320" s="166" t="s">
        <v>151</v>
      </c>
      <c r="G320" s="178" t="s">
        <v>500</v>
      </c>
    </row>
    <row r="321" ht="15.75" customHeight="1">
      <c r="A321" s="162">
        <v>178.0</v>
      </c>
      <c r="B321" s="163">
        <v>46161.0</v>
      </c>
      <c r="C321" s="164">
        <v>200.0</v>
      </c>
      <c r="D321" s="165" t="s">
        <v>501</v>
      </c>
      <c r="E321" s="43" t="s">
        <v>8</v>
      </c>
      <c r="F321" s="166" t="s">
        <v>151</v>
      </c>
      <c r="G321" s="178" t="s">
        <v>502</v>
      </c>
    </row>
    <row r="322" ht="15.75" customHeight="1">
      <c r="A322" s="162">
        <v>178.0</v>
      </c>
      <c r="B322" s="163">
        <v>46161.0</v>
      </c>
      <c r="C322" s="164">
        <v>300.0</v>
      </c>
      <c r="D322" s="165" t="s">
        <v>503</v>
      </c>
      <c r="E322" s="43" t="s">
        <v>58</v>
      </c>
      <c r="F322" s="166" t="s">
        <v>151</v>
      </c>
      <c r="G322" s="178" t="s">
        <v>504</v>
      </c>
    </row>
    <row r="323" ht="15.75" hidden="1" customHeight="1">
      <c r="A323" s="168">
        <v>176.0</v>
      </c>
      <c r="B323" s="169">
        <v>46156.0</v>
      </c>
      <c r="C323" s="170">
        <v>221.0</v>
      </c>
      <c r="D323" s="43" t="s">
        <v>495</v>
      </c>
      <c r="E323" s="43" t="s">
        <v>57</v>
      </c>
      <c r="F323" s="43" t="s">
        <v>125</v>
      </c>
      <c r="G323" s="161" t="s">
        <v>170</v>
      </c>
    </row>
    <row r="324" ht="15.75" hidden="1" customHeight="1">
      <c r="A324" s="168">
        <v>176.0</v>
      </c>
      <c r="B324" s="169">
        <v>46158.0</v>
      </c>
      <c r="C324" s="170">
        <v>202.5</v>
      </c>
      <c r="D324" s="43" t="s">
        <v>495</v>
      </c>
      <c r="E324" s="43" t="s">
        <v>57</v>
      </c>
      <c r="F324" s="43" t="s">
        <v>125</v>
      </c>
      <c r="G324" s="161" t="s">
        <v>505</v>
      </c>
    </row>
    <row r="325" ht="15.75" hidden="1" customHeight="1">
      <c r="A325" s="171">
        <v>176.0</v>
      </c>
      <c r="B325" s="169">
        <v>46148.0</v>
      </c>
      <c r="C325" s="170">
        <v>130.0</v>
      </c>
      <c r="D325" s="43" t="s">
        <v>506</v>
      </c>
      <c r="E325" s="43" t="s">
        <v>57</v>
      </c>
      <c r="F325" s="43" t="s">
        <v>125</v>
      </c>
      <c r="G325" s="172" t="s">
        <v>507</v>
      </c>
    </row>
    <row r="326" ht="15.75" hidden="1" customHeight="1">
      <c r="A326" s="171">
        <v>176.0</v>
      </c>
      <c r="B326" s="169">
        <v>46149.0</v>
      </c>
      <c r="C326" s="170">
        <v>130.0</v>
      </c>
      <c r="D326" s="43" t="s">
        <v>506</v>
      </c>
      <c r="E326" s="43" t="s">
        <v>57</v>
      </c>
      <c r="F326" s="43" t="s">
        <v>125</v>
      </c>
      <c r="G326" s="172" t="s">
        <v>508</v>
      </c>
    </row>
    <row r="327" ht="15.75" hidden="1" customHeight="1">
      <c r="A327" s="171">
        <v>176.0</v>
      </c>
      <c r="B327" s="169">
        <v>46150.0</v>
      </c>
      <c r="C327" s="170">
        <v>130.0</v>
      </c>
      <c r="D327" s="43" t="s">
        <v>506</v>
      </c>
      <c r="E327" s="43" t="s">
        <v>57</v>
      </c>
      <c r="F327" s="43" t="s">
        <v>125</v>
      </c>
      <c r="G327" s="172" t="s">
        <v>509</v>
      </c>
    </row>
    <row r="328" ht="15.75" hidden="1" customHeight="1">
      <c r="A328" s="168">
        <v>176.0</v>
      </c>
      <c r="B328" s="169">
        <v>46158.0</v>
      </c>
      <c r="C328" s="170">
        <v>130.0</v>
      </c>
      <c r="D328" s="183" t="s">
        <v>506</v>
      </c>
      <c r="E328" s="43" t="s">
        <v>57</v>
      </c>
      <c r="F328" s="43" t="s">
        <v>125</v>
      </c>
      <c r="G328" s="172" t="s">
        <v>510</v>
      </c>
    </row>
    <row r="329" ht="15.75" hidden="1" customHeight="1">
      <c r="A329" s="171">
        <v>176.0</v>
      </c>
      <c r="B329" s="169">
        <v>46162.0</v>
      </c>
      <c r="C329" s="170">
        <v>130.0</v>
      </c>
      <c r="D329" s="43" t="s">
        <v>506</v>
      </c>
      <c r="E329" s="43" t="s">
        <v>57</v>
      </c>
      <c r="F329" s="43" t="s">
        <v>125</v>
      </c>
      <c r="G329" s="172" t="s">
        <v>511</v>
      </c>
    </row>
    <row r="330" ht="15.75" hidden="1" customHeight="1">
      <c r="A330" s="171">
        <v>176.0</v>
      </c>
      <c r="B330" s="169">
        <v>46163.0</v>
      </c>
      <c r="C330" s="170">
        <v>130.0</v>
      </c>
      <c r="D330" s="43" t="s">
        <v>506</v>
      </c>
      <c r="E330" s="43" t="s">
        <v>57</v>
      </c>
      <c r="F330" s="43" t="s">
        <v>125</v>
      </c>
      <c r="G330" s="172" t="s">
        <v>512</v>
      </c>
    </row>
    <row r="331" ht="15.75" hidden="1" customHeight="1">
      <c r="A331" s="171">
        <v>176.0</v>
      </c>
      <c r="B331" s="169">
        <v>46148.0</v>
      </c>
      <c r="C331" s="170">
        <v>17.0</v>
      </c>
      <c r="D331" s="43" t="s">
        <v>513</v>
      </c>
      <c r="E331" s="43" t="s">
        <v>57</v>
      </c>
      <c r="F331" s="43" t="s">
        <v>125</v>
      </c>
      <c r="G331" s="161" t="s">
        <v>514</v>
      </c>
    </row>
    <row r="332" ht="15.75" hidden="1" customHeight="1">
      <c r="A332" s="168">
        <v>176.0</v>
      </c>
      <c r="B332" s="169">
        <v>46148.0</v>
      </c>
      <c r="C332" s="170">
        <v>161.5</v>
      </c>
      <c r="D332" s="43" t="s">
        <v>513</v>
      </c>
      <c r="E332" s="43" t="s">
        <v>57</v>
      </c>
      <c r="F332" s="43" t="s">
        <v>125</v>
      </c>
      <c r="G332" s="161" t="s">
        <v>477</v>
      </c>
    </row>
    <row r="333" ht="15.75" hidden="1" customHeight="1">
      <c r="A333" s="168">
        <v>176.0</v>
      </c>
      <c r="B333" s="169">
        <v>46152.0</v>
      </c>
      <c r="C333" s="170">
        <v>178.5</v>
      </c>
      <c r="D333" s="43" t="s">
        <v>513</v>
      </c>
      <c r="E333" s="43" t="s">
        <v>57</v>
      </c>
      <c r="F333" s="43" t="s">
        <v>125</v>
      </c>
      <c r="G333" s="161" t="s">
        <v>443</v>
      </c>
    </row>
    <row r="334" ht="15.75" hidden="1" customHeight="1">
      <c r="A334" s="171">
        <v>176.0</v>
      </c>
      <c r="B334" s="169">
        <v>46173.0</v>
      </c>
      <c r="C334" s="170">
        <v>178.5</v>
      </c>
      <c r="D334" s="43" t="s">
        <v>513</v>
      </c>
      <c r="E334" s="43" t="s">
        <v>57</v>
      </c>
      <c r="F334" s="43" t="s">
        <v>125</v>
      </c>
      <c r="G334" s="161" t="s">
        <v>515</v>
      </c>
    </row>
    <row r="335" ht="15.75" hidden="1" customHeight="1">
      <c r="A335" s="171">
        <v>176.0</v>
      </c>
      <c r="B335" s="169">
        <v>46159.0</v>
      </c>
      <c r="C335" s="170">
        <v>195.5</v>
      </c>
      <c r="D335" s="43" t="s">
        <v>516</v>
      </c>
      <c r="E335" s="43" t="s">
        <v>57</v>
      </c>
      <c r="F335" s="43" t="s">
        <v>125</v>
      </c>
      <c r="G335" s="161" t="s">
        <v>517</v>
      </c>
    </row>
    <row r="336" ht="15.75" hidden="1" customHeight="1">
      <c r="A336" s="171">
        <v>176.0</v>
      </c>
      <c r="B336" s="169">
        <v>46159.0</v>
      </c>
      <c r="C336" s="170">
        <v>195.5</v>
      </c>
      <c r="D336" s="43" t="s">
        <v>518</v>
      </c>
      <c r="E336" s="43" t="s">
        <v>57</v>
      </c>
      <c r="F336" s="43" t="s">
        <v>125</v>
      </c>
      <c r="G336" s="161" t="s">
        <v>519</v>
      </c>
    </row>
    <row r="337" ht="15.75" hidden="1" customHeight="1">
      <c r="A337" s="171">
        <v>176.0</v>
      </c>
      <c r="B337" s="169">
        <v>46143.0</v>
      </c>
      <c r="C337" s="170">
        <v>12.0</v>
      </c>
      <c r="D337" s="43" t="s">
        <v>520</v>
      </c>
      <c r="E337" s="43" t="s">
        <v>57</v>
      </c>
      <c r="F337" s="43" t="s">
        <v>125</v>
      </c>
      <c r="G337" s="161" t="s">
        <v>521</v>
      </c>
    </row>
    <row r="338" ht="15.75" hidden="1" customHeight="1">
      <c r="A338" s="168">
        <v>176.0</v>
      </c>
      <c r="B338" s="169">
        <v>46152.0</v>
      </c>
      <c r="C338" s="170">
        <v>144.5</v>
      </c>
      <c r="D338" s="43" t="s">
        <v>520</v>
      </c>
      <c r="E338" s="43" t="s">
        <v>57</v>
      </c>
      <c r="F338" s="43" t="s">
        <v>125</v>
      </c>
      <c r="G338" s="161" t="s">
        <v>522</v>
      </c>
    </row>
    <row r="339" ht="15.75" hidden="1" customHeight="1">
      <c r="A339" s="168">
        <v>176.0</v>
      </c>
      <c r="B339" s="169">
        <v>46172.0</v>
      </c>
      <c r="C339" s="170">
        <v>110.5</v>
      </c>
      <c r="D339" s="43" t="s">
        <v>520</v>
      </c>
      <c r="E339" s="43" t="s">
        <v>57</v>
      </c>
      <c r="F339" s="43" t="s">
        <v>125</v>
      </c>
      <c r="G339" s="161" t="s">
        <v>523</v>
      </c>
    </row>
    <row r="340" ht="15.75" hidden="1" customHeight="1">
      <c r="A340" s="168">
        <v>176.0</v>
      </c>
      <c r="B340" s="169">
        <v>46146.0</v>
      </c>
      <c r="C340" s="170">
        <v>153.0</v>
      </c>
      <c r="D340" s="43" t="s">
        <v>524</v>
      </c>
      <c r="E340" s="43" t="s">
        <v>57</v>
      </c>
      <c r="F340" s="43" t="s">
        <v>125</v>
      </c>
      <c r="G340" s="161" t="s">
        <v>525</v>
      </c>
    </row>
    <row r="341" ht="15.75" hidden="1" customHeight="1">
      <c r="A341" s="168">
        <v>176.0</v>
      </c>
      <c r="B341" s="169">
        <v>46163.0</v>
      </c>
      <c r="C341" s="170">
        <v>119.0</v>
      </c>
      <c r="D341" s="183" t="s">
        <v>524</v>
      </c>
      <c r="E341" s="43" t="s">
        <v>57</v>
      </c>
      <c r="F341" s="43" t="s">
        <v>125</v>
      </c>
      <c r="G341" s="172" t="s">
        <v>173</v>
      </c>
    </row>
    <row r="342" ht="15.75" hidden="1" customHeight="1">
      <c r="A342" s="171">
        <v>176.0</v>
      </c>
      <c r="B342" s="169">
        <v>46148.0</v>
      </c>
      <c r="C342" s="170">
        <v>178.5</v>
      </c>
      <c r="D342" s="43" t="s">
        <v>526</v>
      </c>
      <c r="E342" s="43" t="s">
        <v>57</v>
      </c>
      <c r="F342" s="43" t="s">
        <v>125</v>
      </c>
      <c r="G342" s="172" t="s">
        <v>527</v>
      </c>
    </row>
    <row r="343" ht="15.75" customHeight="1">
      <c r="A343" s="162">
        <v>178.0</v>
      </c>
      <c r="B343" s="163">
        <v>46162.0</v>
      </c>
      <c r="C343" s="164">
        <v>100.0</v>
      </c>
      <c r="D343" s="165" t="s">
        <v>528</v>
      </c>
      <c r="E343" s="43" t="s">
        <v>59</v>
      </c>
      <c r="F343" s="166" t="s">
        <v>151</v>
      </c>
      <c r="G343" s="178" t="s">
        <v>529</v>
      </c>
    </row>
    <row r="344" ht="15.75" customHeight="1">
      <c r="A344" s="162">
        <v>178.0</v>
      </c>
      <c r="B344" s="163">
        <v>46162.0</v>
      </c>
      <c r="C344" s="164">
        <v>100.0</v>
      </c>
      <c r="D344" s="165" t="s">
        <v>530</v>
      </c>
      <c r="E344" s="43" t="s">
        <v>58</v>
      </c>
      <c r="F344" s="166" t="s">
        <v>68</v>
      </c>
      <c r="G344" s="193">
        <v>1905.0</v>
      </c>
    </row>
    <row r="345" ht="15.75" hidden="1" customHeight="1">
      <c r="A345" s="171">
        <v>176.0</v>
      </c>
      <c r="B345" s="169">
        <v>46149.0</v>
      </c>
      <c r="C345" s="170">
        <v>7.5</v>
      </c>
      <c r="D345" s="43" t="s">
        <v>526</v>
      </c>
      <c r="E345" s="43" t="s">
        <v>57</v>
      </c>
      <c r="F345" s="43" t="s">
        <v>125</v>
      </c>
      <c r="G345" s="161" t="s">
        <v>531</v>
      </c>
    </row>
    <row r="346" ht="15.75" hidden="1" customHeight="1">
      <c r="A346" s="168">
        <v>176.0</v>
      </c>
      <c r="B346" s="169">
        <v>46159.0</v>
      </c>
      <c r="C346" s="170">
        <v>195.5</v>
      </c>
      <c r="D346" s="43" t="s">
        <v>526</v>
      </c>
      <c r="E346" s="43" t="s">
        <v>57</v>
      </c>
      <c r="F346" s="43" t="s">
        <v>125</v>
      </c>
      <c r="G346" s="173" t="s">
        <v>532</v>
      </c>
    </row>
    <row r="347" ht="15.75" hidden="1" customHeight="1">
      <c r="A347" s="168">
        <v>176.0</v>
      </c>
      <c r="B347" s="169">
        <v>46159.0</v>
      </c>
      <c r="C347" s="170">
        <v>170.0</v>
      </c>
      <c r="D347" s="43" t="s">
        <v>533</v>
      </c>
      <c r="E347" s="43" t="s">
        <v>57</v>
      </c>
      <c r="F347" s="43" t="s">
        <v>125</v>
      </c>
      <c r="G347" s="161" t="s">
        <v>534</v>
      </c>
    </row>
    <row r="348" ht="15.75" hidden="1" customHeight="1">
      <c r="A348" s="171">
        <v>176.0</v>
      </c>
      <c r="B348" s="169">
        <v>46163.0</v>
      </c>
      <c r="C348" s="170">
        <v>170.0</v>
      </c>
      <c r="D348" s="43" t="s">
        <v>533</v>
      </c>
      <c r="E348" s="43" t="s">
        <v>57</v>
      </c>
      <c r="F348" s="43" t="s">
        <v>125</v>
      </c>
      <c r="G348" s="161" t="s">
        <v>535</v>
      </c>
    </row>
    <row r="349" ht="15.75" hidden="1" customHeight="1">
      <c r="A349" s="171">
        <v>176.0</v>
      </c>
      <c r="B349" s="169">
        <v>46166.0</v>
      </c>
      <c r="C349" s="170">
        <v>170.0</v>
      </c>
      <c r="D349" s="43" t="s">
        <v>533</v>
      </c>
      <c r="E349" s="43" t="s">
        <v>57</v>
      </c>
      <c r="F349" s="43" t="s">
        <v>125</v>
      </c>
      <c r="G349" s="172" t="s">
        <v>482</v>
      </c>
    </row>
    <row r="350" ht="15.75" hidden="1" customHeight="1">
      <c r="A350" s="171">
        <v>176.0</v>
      </c>
      <c r="B350" s="169">
        <v>46172.0</v>
      </c>
      <c r="C350" s="170">
        <v>153.0</v>
      </c>
      <c r="D350" s="43" t="s">
        <v>533</v>
      </c>
      <c r="E350" s="43" t="s">
        <v>57</v>
      </c>
      <c r="F350" s="43" t="s">
        <v>125</v>
      </c>
      <c r="G350" s="172" t="s">
        <v>523</v>
      </c>
    </row>
    <row r="351" ht="15.75" hidden="1" customHeight="1">
      <c r="A351" s="171">
        <v>176.0</v>
      </c>
      <c r="B351" s="169">
        <v>46148.0</v>
      </c>
      <c r="C351" s="170">
        <v>178.5</v>
      </c>
      <c r="D351" s="43" t="s">
        <v>536</v>
      </c>
      <c r="E351" s="43" t="s">
        <v>57</v>
      </c>
      <c r="F351" s="43" t="s">
        <v>125</v>
      </c>
      <c r="G351" s="172" t="s">
        <v>537</v>
      </c>
    </row>
    <row r="352" ht="15.75" hidden="1" customHeight="1">
      <c r="A352" s="171">
        <v>176.0</v>
      </c>
      <c r="B352" s="169">
        <v>46143.0</v>
      </c>
      <c r="C352" s="170">
        <v>187.0</v>
      </c>
      <c r="D352" s="43" t="s">
        <v>538</v>
      </c>
      <c r="E352" s="43" t="s">
        <v>57</v>
      </c>
      <c r="F352" s="43" t="s">
        <v>125</v>
      </c>
      <c r="G352" s="161" t="s">
        <v>521</v>
      </c>
    </row>
    <row r="353" ht="15.75" hidden="1" customHeight="1">
      <c r="A353" s="171">
        <v>176.0</v>
      </c>
      <c r="B353" s="169">
        <v>46149.0</v>
      </c>
      <c r="C353" s="170">
        <v>152.0</v>
      </c>
      <c r="D353" s="43" t="s">
        <v>538</v>
      </c>
      <c r="E353" s="43" t="s">
        <v>57</v>
      </c>
      <c r="F353" s="43" t="s">
        <v>125</v>
      </c>
      <c r="G353" s="173" t="s">
        <v>393</v>
      </c>
    </row>
    <row r="354" ht="15.75" hidden="1" customHeight="1">
      <c r="A354" s="168">
        <v>176.0</v>
      </c>
      <c r="B354" s="169">
        <v>46151.0</v>
      </c>
      <c r="C354" s="170">
        <v>187.0</v>
      </c>
      <c r="D354" s="43" t="s">
        <v>538</v>
      </c>
      <c r="E354" s="43" t="s">
        <v>57</v>
      </c>
      <c r="F354" s="43" t="s">
        <v>125</v>
      </c>
      <c r="G354" s="161" t="s">
        <v>539</v>
      </c>
    </row>
    <row r="355" ht="15.75" hidden="1" customHeight="1">
      <c r="A355" s="168">
        <v>176.0</v>
      </c>
      <c r="B355" s="169">
        <v>46152.0</v>
      </c>
      <c r="C355" s="170">
        <v>187.0</v>
      </c>
      <c r="D355" s="43" t="s">
        <v>538</v>
      </c>
      <c r="E355" s="43" t="s">
        <v>57</v>
      </c>
      <c r="F355" s="43" t="s">
        <v>125</v>
      </c>
      <c r="G355" s="161" t="s">
        <v>540</v>
      </c>
    </row>
    <row r="356" ht="15.75" hidden="1" customHeight="1">
      <c r="A356" s="171">
        <v>176.0</v>
      </c>
      <c r="B356" s="169">
        <v>46148.0</v>
      </c>
      <c r="C356" s="170">
        <v>144.5</v>
      </c>
      <c r="D356" s="43" t="s">
        <v>541</v>
      </c>
      <c r="E356" s="43" t="s">
        <v>57</v>
      </c>
      <c r="F356" s="43" t="s">
        <v>125</v>
      </c>
      <c r="G356" s="172" t="s">
        <v>542</v>
      </c>
    </row>
    <row r="357" ht="15.75" hidden="1" customHeight="1">
      <c r="A357" s="171">
        <v>176.0</v>
      </c>
      <c r="B357" s="169">
        <v>46148.0</v>
      </c>
      <c r="C357" s="170">
        <v>158.67</v>
      </c>
      <c r="D357" s="43" t="s">
        <v>541</v>
      </c>
      <c r="E357" s="43" t="s">
        <v>57</v>
      </c>
      <c r="F357" s="43" t="s">
        <v>125</v>
      </c>
      <c r="G357" s="161" t="s">
        <v>543</v>
      </c>
    </row>
    <row r="358" ht="15.75" hidden="1" customHeight="1">
      <c r="A358" s="171">
        <v>176.0</v>
      </c>
      <c r="B358" s="169">
        <v>46151.0</v>
      </c>
      <c r="C358" s="170">
        <v>153.0</v>
      </c>
      <c r="D358" s="43" t="s">
        <v>541</v>
      </c>
      <c r="E358" s="43" t="s">
        <v>57</v>
      </c>
      <c r="F358" s="43" t="s">
        <v>125</v>
      </c>
      <c r="G358" s="161" t="s">
        <v>489</v>
      </c>
    </row>
    <row r="359" ht="15.75" hidden="1" customHeight="1">
      <c r="A359" s="168">
        <v>176.0</v>
      </c>
      <c r="B359" s="169">
        <v>46152.0</v>
      </c>
      <c r="C359" s="170">
        <v>144.5</v>
      </c>
      <c r="D359" s="43" t="s">
        <v>541</v>
      </c>
      <c r="E359" s="43" t="s">
        <v>57</v>
      </c>
      <c r="F359" s="43" t="s">
        <v>125</v>
      </c>
      <c r="G359" s="161" t="s">
        <v>544</v>
      </c>
    </row>
    <row r="360" ht="15.75" hidden="1" customHeight="1">
      <c r="A360" s="171">
        <v>176.0</v>
      </c>
      <c r="B360" s="169">
        <v>46158.0</v>
      </c>
      <c r="C360" s="170">
        <v>161.5</v>
      </c>
      <c r="D360" s="43" t="s">
        <v>541</v>
      </c>
      <c r="E360" s="43" t="s">
        <v>57</v>
      </c>
      <c r="F360" s="43" t="s">
        <v>125</v>
      </c>
      <c r="G360" s="172" t="s">
        <v>545</v>
      </c>
    </row>
    <row r="361" ht="15.75" hidden="1" customHeight="1">
      <c r="A361" s="168">
        <v>176.0</v>
      </c>
      <c r="B361" s="169">
        <v>46159.0</v>
      </c>
      <c r="C361" s="170">
        <v>178.5</v>
      </c>
      <c r="D361" s="183" t="s">
        <v>541</v>
      </c>
      <c r="E361" s="43" t="s">
        <v>57</v>
      </c>
      <c r="F361" s="43" t="s">
        <v>125</v>
      </c>
      <c r="G361" s="172" t="s">
        <v>546</v>
      </c>
    </row>
    <row r="362" ht="15.75" hidden="1" customHeight="1">
      <c r="A362" s="171">
        <v>176.0</v>
      </c>
      <c r="B362" s="169">
        <v>46162.0</v>
      </c>
      <c r="C362" s="170">
        <v>110.5</v>
      </c>
      <c r="D362" s="43" t="s">
        <v>541</v>
      </c>
      <c r="E362" s="43" t="s">
        <v>57</v>
      </c>
      <c r="F362" s="43" t="s">
        <v>125</v>
      </c>
      <c r="G362" s="172" t="s">
        <v>547</v>
      </c>
    </row>
    <row r="363" ht="15.75" hidden="1" customHeight="1">
      <c r="A363" s="171">
        <v>176.0</v>
      </c>
      <c r="B363" s="169">
        <v>46163.0</v>
      </c>
      <c r="C363" s="170">
        <v>110.5</v>
      </c>
      <c r="D363" s="43" t="s">
        <v>541</v>
      </c>
      <c r="E363" s="43" t="s">
        <v>57</v>
      </c>
      <c r="F363" s="43" t="s">
        <v>125</v>
      </c>
      <c r="G363" s="172" t="s">
        <v>548</v>
      </c>
    </row>
    <row r="364" ht="15.75" customHeight="1">
      <c r="A364" s="162">
        <v>178.0</v>
      </c>
      <c r="B364" s="163">
        <v>46163.0</v>
      </c>
      <c r="C364" s="164">
        <v>240.0</v>
      </c>
      <c r="D364" s="165" t="s">
        <v>549</v>
      </c>
      <c r="E364" s="43" t="s">
        <v>59</v>
      </c>
      <c r="F364" s="166" t="s">
        <v>127</v>
      </c>
      <c r="G364" s="193">
        <v>2105.0</v>
      </c>
    </row>
    <row r="365" ht="15.75" customHeight="1">
      <c r="A365" s="162">
        <v>178.0</v>
      </c>
      <c r="B365" s="163">
        <v>46163.0</v>
      </c>
      <c r="C365" s="164">
        <v>210.0</v>
      </c>
      <c r="D365" s="165" t="s">
        <v>550</v>
      </c>
      <c r="E365" s="43" t="s">
        <v>59</v>
      </c>
      <c r="F365" s="166" t="s">
        <v>127</v>
      </c>
      <c r="G365" s="193">
        <v>2106.0</v>
      </c>
    </row>
    <row r="366" ht="15.75" customHeight="1">
      <c r="A366" s="162">
        <v>178.0</v>
      </c>
      <c r="B366" s="163">
        <v>46163.0</v>
      </c>
      <c r="C366" s="164">
        <v>230.0</v>
      </c>
      <c r="D366" s="165" t="s">
        <v>551</v>
      </c>
      <c r="E366" s="43" t="s">
        <v>59</v>
      </c>
      <c r="F366" s="166" t="s">
        <v>127</v>
      </c>
      <c r="G366" s="193">
        <v>2107.0</v>
      </c>
    </row>
    <row r="367" ht="15.75" customHeight="1">
      <c r="A367" s="162">
        <v>178.0</v>
      </c>
      <c r="B367" s="163">
        <v>46163.0</v>
      </c>
      <c r="C367" s="164">
        <v>210.0</v>
      </c>
      <c r="D367" s="165" t="s">
        <v>552</v>
      </c>
      <c r="E367" s="43" t="s">
        <v>59</v>
      </c>
      <c r="F367" s="166" t="s">
        <v>127</v>
      </c>
      <c r="G367" s="193">
        <v>2107.0</v>
      </c>
    </row>
    <row r="368" ht="15.75" hidden="1" customHeight="1">
      <c r="A368" s="168">
        <v>176.0</v>
      </c>
      <c r="B368" s="169">
        <v>46164.0</v>
      </c>
      <c r="C368" s="170">
        <v>187.0</v>
      </c>
      <c r="D368" s="43" t="s">
        <v>541</v>
      </c>
      <c r="E368" s="43" t="s">
        <v>57</v>
      </c>
      <c r="F368" s="43" t="s">
        <v>125</v>
      </c>
      <c r="G368" s="161" t="s">
        <v>553</v>
      </c>
    </row>
    <row r="369" ht="15.75" hidden="1" customHeight="1">
      <c r="A369" s="168">
        <v>176.0</v>
      </c>
      <c r="B369" s="169">
        <v>46165.0</v>
      </c>
      <c r="C369" s="170">
        <v>110.5</v>
      </c>
      <c r="D369" s="183" t="s">
        <v>541</v>
      </c>
      <c r="E369" s="43" t="s">
        <v>57</v>
      </c>
      <c r="F369" s="43" t="s">
        <v>125</v>
      </c>
      <c r="G369" s="172" t="s">
        <v>554</v>
      </c>
    </row>
    <row r="370" ht="15.75" hidden="1" customHeight="1">
      <c r="A370" s="168">
        <v>176.0</v>
      </c>
      <c r="B370" s="169">
        <v>46172.0</v>
      </c>
      <c r="C370" s="170">
        <v>110.5</v>
      </c>
      <c r="D370" s="43" t="s">
        <v>541</v>
      </c>
      <c r="E370" s="43" t="s">
        <v>57</v>
      </c>
      <c r="F370" s="43" t="s">
        <v>125</v>
      </c>
      <c r="G370" s="161" t="s">
        <v>555</v>
      </c>
    </row>
    <row r="371" ht="15.75" hidden="1" customHeight="1">
      <c r="A371" s="171">
        <v>176.0</v>
      </c>
      <c r="B371" s="169">
        <v>46172.0</v>
      </c>
      <c r="C371" s="170">
        <v>169.0</v>
      </c>
      <c r="D371" s="43" t="s">
        <v>541</v>
      </c>
      <c r="E371" s="43" t="s">
        <v>57</v>
      </c>
      <c r="F371" s="43" t="s">
        <v>125</v>
      </c>
      <c r="G371" s="161" t="s">
        <v>556</v>
      </c>
    </row>
    <row r="372" ht="15.75" hidden="1" customHeight="1">
      <c r="A372" s="171">
        <v>176.0</v>
      </c>
      <c r="B372" s="169">
        <v>46148.0</v>
      </c>
      <c r="C372" s="170">
        <v>110.5</v>
      </c>
      <c r="D372" s="43" t="s">
        <v>557</v>
      </c>
      <c r="E372" s="43" t="s">
        <v>57</v>
      </c>
      <c r="F372" s="43" t="s">
        <v>125</v>
      </c>
      <c r="G372" s="172" t="s">
        <v>558</v>
      </c>
    </row>
    <row r="373" ht="15.75" hidden="1" customHeight="1">
      <c r="A373" s="171">
        <v>176.0</v>
      </c>
      <c r="B373" s="169">
        <v>46151.0</v>
      </c>
      <c r="C373" s="170">
        <v>119.0</v>
      </c>
      <c r="D373" s="43" t="s">
        <v>557</v>
      </c>
      <c r="E373" s="43" t="s">
        <v>57</v>
      </c>
      <c r="F373" s="43" t="s">
        <v>125</v>
      </c>
      <c r="G373" s="161" t="s">
        <v>462</v>
      </c>
    </row>
    <row r="374" ht="15.75" customHeight="1">
      <c r="A374" s="162">
        <v>178.0</v>
      </c>
      <c r="B374" s="163">
        <v>46163.0</v>
      </c>
      <c r="C374" s="164">
        <v>570.0</v>
      </c>
      <c r="D374" s="165" t="s">
        <v>559</v>
      </c>
      <c r="E374" s="43" t="s">
        <v>58</v>
      </c>
      <c r="F374" s="43" t="s">
        <v>68</v>
      </c>
      <c r="G374" s="178" t="s">
        <v>560</v>
      </c>
    </row>
    <row r="375" ht="15.75" hidden="1" customHeight="1">
      <c r="A375" s="168">
        <v>176.0</v>
      </c>
      <c r="B375" s="169">
        <v>46157.0</v>
      </c>
      <c r="C375" s="170">
        <v>102.0</v>
      </c>
      <c r="D375" s="43" t="s">
        <v>557</v>
      </c>
      <c r="E375" s="43" t="s">
        <v>57</v>
      </c>
      <c r="F375" s="43" t="s">
        <v>125</v>
      </c>
      <c r="G375" s="172" t="s">
        <v>561</v>
      </c>
    </row>
    <row r="376" ht="15.75" hidden="1" customHeight="1">
      <c r="A376" s="171">
        <v>176.0</v>
      </c>
      <c r="B376" s="169">
        <v>46159.0</v>
      </c>
      <c r="C376" s="170">
        <v>127.5</v>
      </c>
      <c r="D376" s="43" t="s">
        <v>557</v>
      </c>
      <c r="E376" s="43" t="s">
        <v>57</v>
      </c>
      <c r="F376" s="43" t="s">
        <v>125</v>
      </c>
      <c r="G376" s="161" t="s">
        <v>562</v>
      </c>
    </row>
    <row r="377" ht="15.75" hidden="1" customHeight="1">
      <c r="A377" s="171">
        <v>176.0</v>
      </c>
      <c r="B377" s="169">
        <v>46163.0</v>
      </c>
      <c r="C377" s="170">
        <v>110.5</v>
      </c>
      <c r="D377" s="43" t="s">
        <v>557</v>
      </c>
      <c r="E377" s="43" t="s">
        <v>57</v>
      </c>
      <c r="F377" s="43" t="s">
        <v>125</v>
      </c>
      <c r="G377" s="172" t="s">
        <v>563</v>
      </c>
    </row>
    <row r="378" ht="15.75" hidden="1" customHeight="1">
      <c r="A378" s="168">
        <v>176.0</v>
      </c>
      <c r="B378" s="169">
        <v>46164.0</v>
      </c>
      <c r="C378" s="170">
        <v>119.0</v>
      </c>
      <c r="D378" s="43" t="s">
        <v>557</v>
      </c>
      <c r="E378" s="43" t="s">
        <v>57</v>
      </c>
      <c r="F378" s="43" t="s">
        <v>125</v>
      </c>
      <c r="G378" s="161" t="s">
        <v>564</v>
      </c>
    </row>
    <row r="379" ht="15.75" hidden="1" customHeight="1">
      <c r="A379" s="171">
        <v>176.0</v>
      </c>
      <c r="B379" s="169">
        <v>46165.0</v>
      </c>
      <c r="C379" s="170">
        <v>110.5</v>
      </c>
      <c r="D379" s="43" t="s">
        <v>557</v>
      </c>
      <c r="E379" s="43" t="s">
        <v>57</v>
      </c>
      <c r="F379" s="43" t="s">
        <v>125</v>
      </c>
      <c r="G379" s="161" t="s">
        <v>565</v>
      </c>
    </row>
    <row r="380" ht="15.75" hidden="1" customHeight="1">
      <c r="A380" s="168">
        <v>176.0</v>
      </c>
      <c r="B380" s="169">
        <v>46172.0</v>
      </c>
      <c r="C380" s="170">
        <v>110.5</v>
      </c>
      <c r="D380" s="43" t="s">
        <v>557</v>
      </c>
      <c r="E380" s="43" t="s">
        <v>57</v>
      </c>
      <c r="F380" s="43" t="s">
        <v>125</v>
      </c>
      <c r="G380" s="161" t="s">
        <v>556</v>
      </c>
    </row>
    <row r="381" ht="15.75" hidden="1" customHeight="1">
      <c r="A381" s="171">
        <v>176.0</v>
      </c>
      <c r="B381" s="169">
        <v>46172.0</v>
      </c>
      <c r="C381" s="170">
        <v>160.5</v>
      </c>
      <c r="D381" s="43" t="s">
        <v>557</v>
      </c>
      <c r="E381" s="43" t="s">
        <v>57</v>
      </c>
      <c r="F381" s="43" t="s">
        <v>125</v>
      </c>
      <c r="G381" s="161" t="s">
        <v>566</v>
      </c>
    </row>
    <row r="382" ht="15.75" hidden="1" customHeight="1">
      <c r="A382" s="168">
        <v>176.0</v>
      </c>
      <c r="B382" s="169">
        <v>46148.0</v>
      </c>
      <c r="C382" s="170">
        <v>110.5</v>
      </c>
      <c r="D382" s="43" t="s">
        <v>567</v>
      </c>
      <c r="E382" s="43" t="s">
        <v>57</v>
      </c>
      <c r="F382" s="43" t="s">
        <v>125</v>
      </c>
      <c r="G382" s="172" t="s">
        <v>568</v>
      </c>
    </row>
    <row r="383" ht="15.75" hidden="1" customHeight="1">
      <c r="A383" s="168">
        <v>176.0</v>
      </c>
      <c r="B383" s="169">
        <v>46148.0</v>
      </c>
      <c r="C383" s="170">
        <v>124.67</v>
      </c>
      <c r="D383" s="43" t="s">
        <v>569</v>
      </c>
      <c r="E383" s="43" t="s">
        <v>57</v>
      </c>
      <c r="F383" s="43" t="s">
        <v>125</v>
      </c>
      <c r="G383" s="172" t="s">
        <v>476</v>
      </c>
    </row>
    <row r="384" ht="15.75" hidden="1" customHeight="1">
      <c r="A384" s="171">
        <v>176.0</v>
      </c>
      <c r="B384" s="169">
        <v>46148.0</v>
      </c>
      <c r="C384" s="170">
        <v>130.0</v>
      </c>
      <c r="D384" s="43" t="s">
        <v>570</v>
      </c>
      <c r="E384" s="43" t="s">
        <v>57</v>
      </c>
      <c r="F384" s="43" t="s">
        <v>125</v>
      </c>
      <c r="G384" s="172" t="s">
        <v>542</v>
      </c>
    </row>
    <row r="385" ht="15.75" hidden="1" customHeight="1">
      <c r="A385" s="168">
        <v>176.0</v>
      </c>
      <c r="B385" s="169">
        <v>46143.0</v>
      </c>
      <c r="C385" s="170">
        <v>221.0</v>
      </c>
      <c r="D385" s="43" t="s">
        <v>571</v>
      </c>
      <c r="E385" s="43" t="s">
        <v>57</v>
      </c>
      <c r="F385" s="43" t="s">
        <v>125</v>
      </c>
      <c r="G385" s="161" t="s">
        <v>572</v>
      </c>
    </row>
    <row r="386" ht="15.75" hidden="1" customHeight="1">
      <c r="A386" s="171">
        <v>176.0</v>
      </c>
      <c r="B386" s="169">
        <v>46148.0</v>
      </c>
      <c r="C386" s="170">
        <v>178.5</v>
      </c>
      <c r="D386" s="43" t="s">
        <v>571</v>
      </c>
      <c r="E386" s="43" t="s">
        <v>57</v>
      </c>
      <c r="F386" s="43" t="s">
        <v>125</v>
      </c>
      <c r="G386" s="172" t="s">
        <v>469</v>
      </c>
    </row>
    <row r="387" ht="15.75" customHeight="1">
      <c r="A387" s="162">
        <v>178.0</v>
      </c>
      <c r="B387" s="163">
        <v>46164.0</v>
      </c>
      <c r="C387" s="164">
        <f t="shared" ref="C387:C389" si="5">656.23/3</f>
        <v>218.7433333</v>
      </c>
      <c r="D387" s="165" t="s">
        <v>573</v>
      </c>
      <c r="E387" s="43" t="s">
        <v>59</v>
      </c>
      <c r="F387" s="166" t="s">
        <v>70</v>
      </c>
      <c r="G387" s="193"/>
    </row>
    <row r="388" ht="15.75" customHeight="1">
      <c r="A388" s="162">
        <v>178.0</v>
      </c>
      <c r="B388" s="163">
        <v>46164.0</v>
      </c>
      <c r="C388" s="164">
        <f t="shared" si="5"/>
        <v>218.7433333</v>
      </c>
      <c r="D388" s="165" t="s">
        <v>574</v>
      </c>
      <c r="E388" s="43" t="s">
        <v>8</v>
      </c>
      <c r="F388" s="166" t="s">
        <v>70</v>
      </c>
      <c r="G388" s="193"/>
    </row>
    <row r="389" ht="15.75" customHeight="1">
      <c r="A389" s="162">
        <v>178.0</v>
      </c>
      <c r="B389" s="163">
        <v>46164.0</v>
      </c>
      <c r="C389" s="164">
        <f t="shared" si="5"/>
        <v>218.7433333</v>
      </c>
      <c r="D389" s="165" t="s">
        <v>575</v>
      </c>
      <c r="E389" s="43" t="s">
        <v>58</v>
      </c>
      <c r="F389" s="166" t="s">
        <v>70</v>
      </c>
      <c r="G389" s="193">
        <v>2205.0</v>
      </c>
    </row>
    <row r="390" ht="15.75" customHeight="1">
      <c r="A390" s="162">
        <v>178.0</v>
      </c>
      <c r="B390" s="163">
        <v>46164.0</v>
      </c>
      <c r="C390" s="164">
        <v>100.0</v>
      </c>
      <c r="D390" s="165" t="s">
        <v>576</v>
      </c>
      <c r="E390" s="43" t="s">
        <v>8</v>
      </c>
      <c r="F390" s="166" t="s">
        <v>151</v>
      </c>
      <c r="G390" s="193">
        <v>2207.0</v>
      </c>
    </row>
    <row r="391" ht="15.75" hidden="1" customHeight="1">
      <c r="A391" s="168">
        <v>176.0</v>
      </c>
      <c r="B391" s="169">
        <v>46151.0</v>
      </c>
      <c r="C391" s="170">
        <v>178.5</v>
      </c>
      <c r="D391" s="183" t="s">
        <v>571</v>
      </c>
      <c r="E391" s="43" t="s">
        <v>57</v>
      </c>
      <c r="F391" s="43" t="s">
        <v>125</v>
      </c>
      <c r="G391" s="172" t="s">
        <v>577</v>
      </c>
    </row>
    <row r="392" ht="15.75" hidden="1" customHeight="1">
      <c r="A392" s="171">
        <v>176.0</v>
      </c>
      <c r="B392" s="169">
        <v>46163.0</v>
      </c>
      <c r="C392" s="170">
        <v>130.0</v>
      </c>
      <c r="D392" s="43" t="s">
        <v>578</v>
      </c>
      <c r="E392" s="43" t="s">
        <v>57</v>
      </c>
      <c r="F392" s="43" t="s">
        <v>125</v>
      </c>
      <c r="G392" s="161" t="s">
        <v>512</v>
      </c>
    </row>
    <row r="393" ht="15.75" hidden="1" customHeight="1">
      <c r="A393" s="171">
        <v>176.0</v>
      </c>
      <c r="B393" s="169">
        <v>46172.0</v>
      </c>
      <c r="C393" s="170">
        <v>130.0</v>
      </c>
      <c r="D393" s="43" t="s">
        <v>578</v>
      </c>
      <c r="E393" s="43" t="s">
        <v>57</v>
      </c>
      <c r="F393" s="43" t="s">
        <v>125</v>
      </c>
      <c r="G393" s="172" t="s">
        <v>441</v>
      </c>
    </row>
    <row r="394" ht="15.75" hidden="1" customHeight="1">
      <c r="A394" s="168">
        <v>176.0</v>
      </c>
      <c r="B394" s="169">
        <v>46143.0</v>
      </c>
      <c r="C394" s="170">
        <v>153.0</v>
      </c>
      <c r="D394" s="43" t="s">
        <v>579</v>
      </c>
      <c r="E394" s="43" t="s">
        <v>57</v>
      </c>
      <c r="F394" s="43" t="s">
        <v>125</v>
      </c>
      <c r="G394" s="161" t="s">
        <v>580</v>
      </c>
    </row>
    <row r="395" ht="15.75" hidden="1" customHeight="1">
      <c r="A395" s="168">
        <v>176.0</v>
      </c>
      <c r="B395" s="169">
        <v>46148.0</v>
      </c>
      <c r="C395" s="170">
        <v>110.5</v>
      </c>
      <c r="D395" s="43" t="s">
        <v>579</v>
      </c>
      <c r="E395" s="43" t="s">
        <v>57</v>
      </c>
      <c r="F395" s="43" t="s">
        <v>125</v>
      </c>
      <c r="G395" s="161" t="s">
        <v>581</v>
      </c>
    </row>
    <row r="396" ht="15.75" hidden="1" customHeight="1">
      <c r="A396" s="171">
        <v>176.0</v>
      </c>
      <c r="B396" s="169">
        <v>46152.0</v>
      </c>
      <c r="C396" s="170">
        <v>153.0</v>
      </c>
      <c r="D396" s="43" t="s">
        <v>579</v>
      </c>
      <c r="E396" s="43" t="s">
        <v>57</v>
      </c>
      <c r="F396" s="43" t="s">
        <v>125</v>
      </c>
      <c r="G396" s="172" t="s">
        <v>582</v>
      </c>
    </row>
    <row r="397" ht="15.75" hidden="1" customHeight="1">
      <c r="A397" s="171">
        <v>176.0</v>
      </c>
      <c r="B397" s="169">
        <v>46143.0</v>
      </c>
      <c r="C397" s="170">
        <v>153.0</v>
      </c>
      <c r="D397" s="43" t="s">
        <v>583</v>
      </c>
      <c r="E397" s="43" t="s">
        <v>57</v>
      </c>
      <c r="F397" s="43" t="s">
        <v>125</v>
      </c>
      <c r="G397" s="173" t="s">
        <v>584</v>
      </c>
    </row>
    <row r="398" ht="15.75" hidden="1" customHeight="1">
      <c r="A398" s="171">
        <v>176.0</v>
      </c>
      <c r="B398" s="169">
        <v>46158.0</v>
      </c>
      <c r="C398" s="170">
        <v>130.0</v>
      </c>
      <c r="D398" s="183" t="s">
        <v>585</v>
      </c>
      <c r="E398" s="43" t="s">
        <v>57</v>
      </c>
      <c r="F398" s="43" t="s">
        <v>125</v>
      </c>
      <c r="G398" s="172" t="s">
        <v>586</v>
      </c>
    </row>
    <row r="399" ht="15.75" hidden="1" customHeight="1">
      <c r="A399" s="171">
        <v>176.0</v>
      </c>
      <c r="B399" s="169">
        <v>46162.0</v>
      </c>
      <c r="C399" s="170">
        <v>130.0</v>
      </c>
      <c r="D399" s="43" t="s">
        <v>585</v>
      </c>
      <c r="E399" s="43" t="s">
        <v>57</v>
      </c>
      <c r="F399" s="43" t="s">
        <v>125</v>
      </c>
      <c r="G399" s="172" t="s">
        <v>587</v>
      </c>
    </row>
    <row r="400" ht="15.75" customHeight="1">
      <c r="A400" s="168">
        <v>178.0</v>
      </c>
      <c r="B400" s="169">
        <v>46165.0</v>
      </c>
      <c r="C400" s="170">
        <v>210.5</v>
      </c>
      <c r="D400" s="43" t="s">
        <v>451</v>
      </c>
      <c r="E400" s="43" t="s">
        <v>57</v>
      </c>
      <c r="F400" s="43" t="s">
        <v>124</v>
      </c>
      <c r="G400" s="161" t="s">
        <v>554</v>
      </c>
    </row>
    <row r="401" ht="15.75" hidden="1" customHeight="1">
      <c r="A401" s="171">
        <v>176.0</v>
      </c>
      <c r="B401" s="169">
        <v>46148.0</v>
      </c>
      <c r="C401" s="170">
        <v>161.5</v>
      </c>
      <c r="D401" s="43" t="s">
        <v>588</v>
      </c>
      <c r="E401" s="43" t="s">
        <v>57</v>
      </c>
      <c r="F401" s="43" t="s">
        <v>125</v>
      </c>
      <c r="G401" s="161" t="s">
        <v>471</v>
      </c>
    </row>
    <row r="402" ht="15.75" hidden="1" customHeight="1">
      <c r="A402" s="168">
        <v>176.0</v>
      </c>
      <c r="B402" s="169">
        <v>46148.0</v>
      </c>
      <c r="C402" s="170">
        <v>170.0</v>
      </c>
      <c r="D402" s="43" t="s">
        <v>588</v>
      </c>
      <c r="E402" s="43" t="s">
        <v>57</v>
      </c>
      <c r="F402" s="43" t="s">
        <v>125</v>
      </c>
      <c r="G402" s="161" t="s">
        <v>589</v>
      </c>
    </row>
    <row r="403" ht="15.75" customHeight="1">
      <c r="A403" s="162">
        <v>178.0</v>
      </c>
      <c r="B403" s="163">
        <v>46165.0</v>
      </c>
      <c r="C403" s="164">
        <v>187.0</v>
      </c>
      <c r="D403" s="165" t="s">
        <v>590</v>
      </c>
      <c r="E403" s="43" t="s">
        <v>58</v>
      </c>
      <c r="F403" s="166" t="s">
        <v>124</v>
      </c>
      <c r="G403" s="193">
        <v>2310.0</v>
      </c>
    </row>
    <row r="404" ht="15.75" hidden="1" customHeight="1">
      <c r="A404" s="171">
        <v>176.0</v>
      </c>
      <c r="B404" s="169">
        <v>46151.0</v>
      </c>
      <c r="C404" s="170">
        <v>45.0</v>
      </c>
      <c r="D404" s="43" t="s">
        <v>588</v>
      </c>
      <c r="E404" s="43" t="s">
        <v>57</v>
      </c>
      <c r="F404" s="43" t="s">
        <v>125</v>
      </c>
      <c r="G404" s="161" t="s">
        <v>591</v>
      </c>
    </row>
    <row r="405" ht="15.75" hidden="1" customHeight="1">
      <c r="A405" s="168">
        <v>176.0</v>
      </c>
      <c r="B405" s="169">
        <v>46148.0</v>
      </c>
      <c r="C405" s="170">
        <v>110.5</v>
      </c>
      <c r="D405" s="43" t="s">
        <v>592</v>
      </c>
      <c r="E405" s="43" t="s">
        <v>57</v>
      </c>
      <c r="F405" s="43" t="s">
        <v>125</v>
      </c>
      <c r="G405" s="161" t="s">
        <v>593</v>
      </c>
    </row>
    <row r="406" ht="15.75" hidden="1" customHeight="1">
      <c r="A406" s="171">
        <v>176.0</v>
      </c>
      <c r="B406" s="169">
        <v>46159.0</v>
      </c>
      <c r="C406" s="170">
        <v>170.0</v>
      </c>
      <c r="D406" s="43" t="s">
        <v>594</v>
      </c>
      <c r="E406" s="43" t="s">
        <v>57</v>
      </c>
      <c r="F406" s="43" t="s">
        <v>125</v>
      </c>
      <c r="G406" s="161" t="s">
        <v>595</v>
      </c>
    </row>
    <row r="407" ht="15.75" hidden="1" customHeight="1">
      <c r="A407" s="168">
        <v>176.0</v>
      </c>
      <c r="B407" s="169">
        <v>46148.0</v>
      </c>
      <c r="C407" s="170">
        <v>110.5</v>
      </c>
      <c r="D407" s="43" t="s">
        <v>596</v>
      </c>
      <c r="E407" s="43" t="s">
        <v>57</v>
      </c>
      <c r="F407" s="43" t="s">
        <v>125</v>
      </c>
      <c r="G407" s="161" t="s">
        <v>597</v>
      </c>
    </row>
    <row r="408" ht="15.75" hidden="1" customHeight="1">
      <c r="A408" s="171">
        <v>176.0</v>
      </c>
      <c r="B408" s="169">
        <v>46159.0</v>
      </c>
      <c r="C408" s="170">
        <v>127.5</v>
      </c>
      <c r="D408" s="43" t="s">
        <v>596</v>
      </c>
      <c r="E408" s="43" t="s">
        <v>57</v>
      </c>
      <c r="F408" s="43" t="s">
        <v>125</v>
      </c>
      <c r="G408" s="161" t="s">
        <v>598</v>
      </c>
    </row>
    <row r="409" ht="15.75" hidden="1" customHeight="1">
      <c r="A409" s="171">
        <v>176.0</v>
      </c>
      <c r="B409" s="169">
        <v>46162.0</v>
      </c>
      <c r="C409" s="170">
        <v>110.5</v>
      </c>
      <c r="D409" s="43" t="s">
        <v>596</v>
      </c>
      <c r="E409" s="43" t="s">
        <v>57</v>
      </c>
      <c r="F409" s="43" t="s">
        <v>125</v>
      </c>
      <c r="G409" s="172" t="s">
        <v>599</v>
      </c>
    </row>
    <row r="410" ht="15.75" customHeight="1">
      <c r="A410" s="162">
        <v>178.0</v>
      </c>
      <c r="B410" s="163">
        <v>46166.0</v>
      </c>
      <c r="C410" s="164">
        <v>170.0</v>
      </c>
      <c r="D410" s="165" t="s">
        <v>600</v>
      </c>
      <c r="E410" s="43" t="s">
        <v>58</v>
      </c>
      <c r="F410" s="166" t="s">
        <v>124</v>
      </c>
      <c r="G410" s="193">
        <v>2412.0</v>
      </c>
    </row>
    <row r="411" ht="15.75" customHeight="1">
      <c r="A411" s="174">
        <v>178.0</v>
      </c>
      <c r="B411" s="175">
        <v>46166.0</v>
      </c>
      <c r="C411" s="176">
        <v>235.0</v>
      </c>
      <c r="D411" s="177" t="s">
        <v>601</v>
      </c>
      <c r="E411" s="43" t="s">
        <v>8</v>
      </c>
      <c r="F411" s="166" t="s">
        <v>74</v>
      </c>
      <c r="G411" s="178" t="s">
        <v>602</v>
      </c>
    </row>
    <row r="412" ht="15.75" hidden="1" customHeight="1">
      <c r="A412" s="168">
        <v>176.0</v>
      </c>
      <c r="B412" s="169">
        <v>46163.0</v>
      </c>
      <c r="C412" s="170">
        <v>119.0</v>
      </c>
      <c r="D412" s="43" t="s">
        <v>596</v>
      </c>
      <c r="E412" s="43" t="s">
        <v>57</v>
      </c>
      <c r="F412" s="43" t="s">
        <v>125</v>
      </c>
      <c r="G412" s="161" t="s">
        <v>603</v>
      </c>
    </row>
    <row r="413" ht="15.75" hidden="1" customHeight="1">
      <c r="A413" s="168">
        <v>176.0</v>
      </c>
      <c r="B413" s="169">
        <v>46148.0</v>
      </c>
      <c r="C413" s="170">
        <v>170.0</v>
      </c>
      <c r="D413" s="43" t="s">
        <v>604</v>
      </c>
      <c r="E413" s="43" t="s">
        <v>57</v>
      </c>
      <c r="F413" s="43" t="s">
        <v>125</v>
      </c>
      <c r="G413" s="172" t="s">
        <v>514</v>
      </c>
    </row>
    <row r="414" ht="15.75" hidden="1" customHeight="1">
      <c r="A414" s="168">
        <v>176.0</v>
      </c>
      <c r="B414" s="169">
        <v>46148.0</v>
      </c>
      <c r="C414" s="170">
        <v>178.5</v>
      </c>
      <c r="D414" s="43" t="s">
        <v>604</v>
      </c>
      <c r="E414" s="43" t="s">
        <v>57</v>
      </c>
      <c r="F414" s="43" t="s">
        <v>125</v>
      </c>
      <c r="G414" s="172" t="s">
        <v>589</v>
      </c>
    </row>
    <row r="415" ht="15.75" hidden="1" customHeight="1">
      <c r="A415" s="171">
        <v>176.0</v>
      </c>
      <c r="B415" s="169">
        <v>46149.0</v>
      </c>
      <c r="C415" s="170">
        <v>7.5</v>
      </c>
      <c r="D415" s="43" t="s">
        <v>604</v>
      </c>
      <c r="E415" s="43" t="s">
        <v>57</v>
      </c>
      <c r="F415" s="43" t="s">
        <v>125</v>
      </c>
      <c r="G415" s="161" t="s">
        <v>605</v>
      </c>
    </row>
    <row r="416" ht="15.75" hidden="1" customHeight="1">
      <c r="A416" s="171">
        <v>176.0</v>
      </c>
      <c r="B416" s="169">
        <v>46151.0</v>
      </c>
      <c r="C416" s="170">
        <v>178.5</v>
      </c>
      <c r="D416" s="43" t="s">
        <v>604</v>
      </c>
      <c r="E416" s="43" t="s">
        <v>57</v>
      </c>
      <c r="F416" s="43" t="s">
        <v>125</v>
      </c>
      <c r="G416" s="161" t="s">
        <v>606</v>
      </c>
    </row>
    <row r="417" ht="15.75" customHeight="1">
      <c r="A417" s="168">
        <v>178.0</v>
      </c>
      <c r="B417" s="169">
        <v>46167.0</v>
      </c>
      <c r="C417" s="170">
        <v>202.5</v>
      </c>
      <c r="D417" s="43" t="s">
        <v>451</v>
      </c>
      <c r="E417" s="43" t="s">
        <v>57</v>
      </c>
      <c r="F417" s="43" t="s">
        <v>124</v>
      </c>
      <c r="G417" s="161" t="s">
        <v>607</v>
      </c>
    </row>
    <row r="418" ht="15.75" hidden="1" customHeight="1">
      <c r="A418" s="168">
        <v>176.0</v>
      </c>
      <c r="B418" s="169">
        <v>46152.0</v>
      </c>
      <c r="C418" s="170">
        <v>179.5</v>
      </c>
      <c r="D418" s="43" t="s">
        <v>604</v>
      </c>
      <c r="E418" s="43" t="s">
        <v>57</v>
      </c>
      <c r="F418" s="43" t="s">
        <v>125</v>
      </c>
      <c r="G418" s="172" t="s">
        <v>608</v>
      </c>
    </row>
    <row r="419" ht="15.75" customHeight="1">
      <c r="A419" s="162">
        <v>178.0</v>
      </c>
      <c r="B419" s="163">
        <v>46167.0</v>
      </c>
      <c r="C419" s="164">
        <f t="shared" ref="C419:C421" si="6">1746/3</f>
        <v>582</v>
      </c>
      <c r="D419" s="165" t="s">
        <v>609</v>
      </c>
      <c r="E419" s="43" t="s">
        <v>58</v>
      </c>
      <c r="F419" s="166" t="s">
        <v>610</v>
      </c>
      <c r="G419" s="193"/>
    </row>
    <row r="420" ht="15.75" customHeight="1">
      <c r="A420" s="162">
        <v>178.0</v>
      </c>
      <c r="B420" s="163">
        <v>46167.0</v>
      </c>
      <c r="C420" s="164">
        <f t="shared" si="6"/>
        <v>582</v>
      </c>
      <c r="D420" s="165" t="s">
        <v>611</v>
      </c>
      <c r="E420" s="43" t="s">
        <v>59</v>
      </c>
      <c r="F420" s="166" t="s">
        <v>610</v>
      </c>
      <c r="G420" s="193"/>
    </row>
    <row r="421" ht="15.75" customHeight="1">
      <c r="A421" s="162">
        <v>178.0</v>
      </c>
      <c r="B421" s="163">
        <v>46167.0</v>
      </c>
      <c r="C421" s="164">
        <f t="shared" si="6"/>
        <v>582</v>
      </c>
      <c r="D421" s="165" t="s">
        <v>612</v>
      </c>
      <c r="E421" s="43" t="s">
        <v>8</v>
      </c>
      <c r="F421" s="166" t="s">
        <v>610</v>
      </c>
      <c r="G421" s="193">
        <v>2505.0</v>
      </c>
    </row>
    <row r="422" ht="15.75" customHeight="1">
      <c r="A422" s="162">
        <v>178.0</v>
      </c>
      <c r="B422" s="163">
        <v>46167.0</v>
      </c>
      <c r="C422" s="164">
        <v>28.98</v>
      </c>
      <c r="D422" s="165" t="s">
        <v>613</v>
      </c>
      <c r="E422" s="43" t="s">
        <v>58</v>
      </c>
      <c r="F422" s="166" t="s">
        <v>67</v>
      </c>
      <c r="G422" s="193">
        <v>2510.0</v>
      </c>
    </row>
    <row r="423" ht="15.75" customHeight="1">
      <c r="A423" s="162">
        <v>178.0</v>
      </c>
      <c r="B423" s="163">
        <v>46167.0</v>
      </c>
      <c r="C423" s="164">
        <v>100.0</v>
      </c>
      <c r="D423" s="165" t="s">
        <v>614</v>
      </c>
      <c r="E423" s="43" t="s">
        <v>58</v>
      </c>
      <c r="F423" s="166" t="s">
        <v>151</v>
      </c>
      <c r="G423" s="193">
        <v>2506.0</v>
      </c>
    </row>
    <row r="424" ht="15.75" customHeight="1">
      <c r="A424" s="162">
        <v>178.0</v>
      </c>
      <c r="B424" s="163">
        <v>46167.0</v>
      </c>
      <c r="C424" s="164">
        <v>100.0</v>
      </c>
      <c r="D424" s="165" t="s">
        <v>615</v>
      </c>
      <c r="E424" s="43" t="s">
        <v>58</v>
      </c>
      <c r="F424" s="166" t="s">
        <v>151</v>
      </c>
      <c r="G424" s="193">
        <v>2505.0</v>
      </c>
    </row>
    <row r="425" ht="15.75" customHeight="1">
      <c r="A425" s="162">
        <v>178.0</v>
      </c>
      <c r="B425" s="163">
        <v>46167.0</v>
      </c>
      <c r="C425" s="164">
        <v>100.0</v>
      </c>
      <c r="D425" s="165" t="s">
        <v>616</v>
      </c>
      <c r="E425" s="43" t="s">
        <v>59</v>
      </c>
      <c r="F425" s="166" t="s">
        <v>151</v>
      </c>
      <c r="G425" s="193">
        <v>2507.0</v>
      </c>
    </row>
    <row r="426" ht="15.75" customHeight="1">
      <c r="A426" s="162">
        <v>178.0</v>
      </c>
      <c r="B426" s="163">
        <v>46167.0</v>
      </c>
      <c r="C426" s="164">
        <v>125.0</v>
      </c>
      <c r="D426" s="165" t="s">
        <v>617</v>
      </c>
      <c r="E426" s="43" t="s">
        <v>8</v>
      </c>
      <c r="F426" s="166" t="s">
        <v>151</v>
      </c>
      <c r="G426" s="193">
        <v>2508.0</v>
      </c>
    </row>
    <row r="427" ht="15.75" customHeight="1">
      <c r="A427" s="162">
        <v>178.0</v>
      </c>
      <c r="B427" s="163">
        <v>46167.0</v>
      </c>
      <c r="C427" s="164">
        <v>100.0</v>
      </c>
      <c r="D427" s="165" t="s">
        <v>618</v>
      </c>
      <c r="E427" s="43" t="s">
        <v>59</v>
      </c>
      <c r="F427" s="166" t="s">
        <v>151</v>
      </c>
      <c r="G427" s="193">
        <v>2509.0</v>
      </c>
    </row>
    <row r="428" ht="15.75" hidden="1" customHeight="1">
      <c r="A428" s="171">
        <v>176.0</v>
      </c>
      <c r="B428" s="169">
        <v>46158.0</v>
      </c>
      <c r="C428" s="170">
        <v>178.5</v>
      </c>
      <c r="D428" s="43" t="s">
        <v>604</v>
      </c>
      <c r="E428" s="43" t="s">
        <v>57</v>
      </c>
      <c r="F428" s="43" t="s">
        <v>125</v>
      </c>
      <c r="G428" s="161" t="s">
        <v>505</v>
      </c>
    </row>
    <row r="429" ht="15.75" hidden="1" customHeight="1">
      <c r="A429" s="171">
        <v>176.0</v>
      </c>
      <c r="B429" s="169">
        <v>46159.0</v>
      </c>
      <c r="C429" s="170">
        <v>195.5</v>
      </c>
      <c r="D429" s="43" t="s">
        <v>604</v>
      </c>
      <c r="E429" s="43" t="s">
        <v>57</v>
      </c>
      <c r="F429" s="43" t="s">
        <v>125</v>
      </c>
      <c r="G429" s="172" t="s">
        <v>619</v>
      </c>
    </row>
    <row r="430" ht="15.75" hidden="1" customHeight="1">
      <c r="A430" s="171">
        <v>176.0</v>
      </c>
      <c r="B430" s="169">
        <v>46162.0</v>
      </c>
      <c r="C430" s="170">
        <v>178.5</v>
      </c>
      <c r="D430" s="43" t="s">
        <v>604</v>
      </c>
      <c r="E430" s="43" t="s">
        <v>57</v>
      </c>
      <c r="F430" s="43" t="s">
        <v>125</v>
      </c>
      <c r="G430" s="161" t="s">
        <v>620</v>
      </c>
    </row>
    <row r="431" ht="15.75" hidden="1" customHeight="1">
      <c r="A431" s="168">
        <v>176.0</v>
      </c>
      <c r="B431" s="169">
        <v>46163.0</v>
      </c>
      <c r="C431" s="170">
        <v>178.5</v>
      </c>
      <c r="D431" s="43" t="s">
        <v>604</v>
      </c>
      <c r="E431" s="43" t="s">
        <v>57</v>
      </c>
      <c r="F431" s="43" t="s">
        <v>125</v>
      </c>
      <c r="G431" s="172" t="s">
        <v>621</v>
      </c>
    </row>
    <row r="432" ht="15.75" hidden="1" customHeight="1">
      <c r="A432" s="171">
        <v>176.0</v>
      </c>
      <c r="B432" s="169">
        <v>46166.0</v>
      </c>
      <c r="C432" s="170">
        <v>178.5</v>
      </c>
      <c r="D432" s="43" t="s">
        <v>604</v>
      </c>
      <c r="E432" s="43" t="s">
        <v>57</v>
      </c>
      <c r="F432" s="43" t="s">
        <v>125</v>
      </c>
      <c r="G432" s="180" t="s">
        <v>622</v>
      </c>
    </row>
    <row r="433" ht="15.75" hidden="1" customHeight="1">
      <c r="A433" s="171">
        <v>176.0</v>
      </c>
      <c r="B433" s="169">
        <v>46172.0</v>
      </c>
      <c r="C433" s="170">
        <v>169.0</v>
      </c>
      <c r="D433" s="43" t="s">
        <v>604</v>
      </c>
      <c r="E433" s="43" t="s">
        <v>57</v>
      </c>
      <c r="F433" s="43" t="s">
        <v>125</v>
      </c>
      <c r="G433" s="161" t="s">
        <v>556</v>
      </c>
    </row>
    <row r="434" ht="15.75" hidden="1" customHeight="1">
      <c r="A434" s="171">
        <v>176.0</v>
      </c>
      <c r="B434" s="169">
        <v>46173.0</v>
      </c>
      <c r="C434" s="170">
        <v>178.5</v>
      </c>
      <c r="D434" s="43" t="s">
        <v>604</v>
      </c>
      <c r="E434" s="43" t="s">
        <v>57</v>
      </c>
      <c r="F434" s="43" t="s">
        <v>125</v>
      </c>
      <c r="G434" s="161" t="s">
        <v>623</v>
      </c>
    </row>
    <row r="435" ht="15.75" hidden="1" customHeight="1">
      <c r="A435" s="171">
        <v>176.0</v>
      </c>
      <c r="B435" s="169">
        <v>46148.0</v>
      </c>
      <c r="C435" s="170">
        <v>170.0</v>
      </c>
      <c r="D435" s="43" t="s">
        <v>624</v>
      </c>
      <c r="E435" s="43" t="s">
        <v>57</v>
      </c>
      <c r="F435" s="43" t="s">
        <v>125</v>
      </c>
      <c r="G435" s="172" t="s">
        <v>527</v>
      </c>
    </row>
    <row r="436" ht="15.75" hidden="1" customHeight="1">
      <c r="A436" s="171">
        <v>176.0</v>
      </c>
      <c r="B436" s="169">
        <v>46148.0</v>
      </c>
      <c r="C436" s="170">
        <v>178.5</v>
      </c>
      <c r="D436" s="43" t="s">
        <v>624</v>
      </c>
      <c r="E436" s="43" t="s">
        <v>57</v>
      </c>
      <c r="F436" s="43" t="s">
        <v>125</v>
      </c>
      <c r="G436" s="161" t="s">
        <v>496</v>
      </c>
    </row>
    <row r="437" ht="15.75" customHeight="1">
      <c r="A437" s="162">
        <v>178.0</v>
      </c>
      <c r="B437" s="163">
        <v>46168.0</v>
      </c>
      <c r="C437" s="164">
        <v>20.95</v>
      </c>
      <c r="D437" s="165" t="s">
        <v>625</v>
      </c>
      <c r="E437" s="43" t="s">
        <v>8</v>
      </c>
      <c r="F437" s="166" t="s">
        <v>80</v>
      </c>
      <c r="G437" s="178" t="s">
        <v>626</v>
      </c>
    </row>
    <row r="438" ht="15.75" hidden="1" customHeight="1">
      <c r="A438" s="168">
        <v>176.0</v>
      </c>
      <c r="B438" s="169">
        <v>46152.0</v>
      </c>
      <c r="C438" s="170">
        <v>178.5</v>
      </c>
      <c r="D438" s="43" t="s">
        <v>624</v>
      </c>
      <c r="E438" s="43" t="s">
        <v>57</v>
      </c>
      <c r="F438" s="43" t="s">
        <v>125</v>
      </c>
      <c r="G438" s="161" t="s">
        <v>627</v>
      </c>
    </row>
    <row r="439" ht="15.75" hidden="1" customHeight="1">
      <c r="A439" s="168">
        <v>176.0</v>
      </c>
      <c r="B439" s="169">
        <v>46158.0</v>
      </c>
      <c r="C439" s="170">
        <v>178.5</v>
      </c>
      <c r="D439" s="43" t="s">
        <v>624</v>
      </c>
      <c r="E439" s="43" t="s">
        <v>57</v>
      </c>
      <c r="F439" s="43" t="s">
        <v>125</v>
      </c>
      <c r="G439" s="161" t="s">
        <v>628</v>
      </c>
    </row>
    <row r="440" ht="15.75" hidden="1" customHeight="1">
      <c r="A440" s="171">
        <v>176.0</v>
      </c>
      <c r="B440" s="169">
        <v>46159.0</v>
      </c>
      <c r="C440" s="170">
        <v>195.5</v>
      </c>
      <c r="D440" s="43" t="s">
        <v>624</v>
      </c>
      <c r="E440" s="43" t="s">
        <v>57</v>
      </c>
      <c r="F440" s="43" t="s">
        <v>125</v>
      </c>
      <c r="G440" s="161" t="s">
        <v>629</v>
      </c>
    </row>
    <row r="441" ht="15.75" customHeight="1">
      <c r="A441" s="162">
        <v>178.0</v>
      </c>
      <c r="B441" s="163">
        <v>46169.0</v>
      </c>
      <c r="C441" s="164">
        <v>210.0</v>
      </c>
      <c r="D441" s="165" t="s">
        <v>630</v>
      </c>
      <c r="E441" s="43" t="s">
        <v>58</v>
      </c>
      <c r="F441" s="166" t="s">
        <v>127</v>
      </c>
      <c r="G441" s="193">
        <v>2706.0</v>
      </c>
    </row>
    <row r="442" ht="15.75" customHeight="1">
      <c r="A442" s="162">
        <v>178.0</v>
      </c>
      <c r="B442" s="163">
        <v>46169.0</v>
      </c>
      <c r="C442" s="164">
        <v>200.0</v>
      </c>
      <c r="D442" s="165" t="s">
        <v>631</v>
      </c>
      <c r="E442" s="43" t="s">
        <v>59</v>
      </c>
      <c r="F442" s="166" t="s">
        <v>127</v>
      </c>
      <c r="G442" s="193">
        <v>2705.0</v>
      </c>
    </row>
    <row r="443" ht="15.75" hidden="1" customHeight="1">
      <c r="A443" s="171">
        <v>176.0</v>
      </c>
      <c r="B443" s="169">
        <v>46162.0</v>
      </c>
      <c r="C443" s="170">
        <v>178.5</v>
      </c>
      <c r="D443" s="43" t="s">
        <v>624</v>
      </c>
      <c r="E443" s="43" t="s">
        <v>57</v>
      </c>
      <c r="F443" s="43" t="s">
        <v>125</v>
      </c>
      <c r="G443" s="172" t="s">
        <v>632</v>
      </c>
    </row>
    <row r="444" ht="15.75" hidden="1" customHeight="1">
      <c r="A444" s="168">
        <v>176.0</v>
      </c>
      <c r="B444" s="169">
        <v>46163.0</v>
      </c>
      <c r="C444" s="170">
        <v>178.5</v>
      </c>
      <c r="D444" s="43" t="s">
        <v>624</v>
      </c>
      <c r="E444" s="43" t="s">
        <v>57</v>
      </c>
      <c r="F444" s="43" t="s">
        <v>125</v>
      </c>
      <c r="G444" s="172" t="s">
        <v>621</v>
      </c>
    </row>
    <row r="445" ht="15.75" hidden="1" customHeight="1">
      <c r="A445" s="171">
        <v>176.0</v>
      </c>
      <c r="B445" s="169">
        <v>46166.0</v>
      </c>
      <c r="C445" s="170">
        <v>178.5</v>
      </c>
      <c r="D445" s="43" t="s">
        <v>624</v>
      </c>
      <c r="E445" s="43" t="s">
        <v>57</v>
      </c>
      <c r="F445" s="43" t="s">
        <v>125</v>
      </c>
      <c r="G445" s="161" t="s">
        <v>633</v>
      </c>
    </row>
    <row r="446" ht="15.75" hidden="1" customHeight="1">
      <c r="A446" s="168">
        <v>176.0</v>
      </c>
      <c r="B446" s="169">
        <v>46173.0</v>
      </c>
      <c r="C446" s="170">
        <v>178.5</v>
      </c>
      <c r="D446" s="183" t="s">
        <v>624</v>
      </c>
      <c r="E446" s="43" t="s">
        <v>57</v>
      </c>
      <c r="F446" s="43" t="s">
        <v>125</v>
      </c>
      <c r="G446" s="172" t="s">
        <v>634</v>
      </c>
    </row>
    <row r="447" ht="15.75" customHeight="1">
      <c r="A447" s="201">
        <v>178.0</v>
      </c>
      <c r="B447" s="202">
        <v>46170.0</v>
      </c>
      <c r="C447" s="203">
        <v>210.9</v>
      </c>
      <c r="D447" s="201" t="s">
        <v>635</v>
      </c>
      <c r="E447" s="43" t="s">
        <v>58</v>
      </c>
      <c r="F447" s="201" t="s">
        <v>73</v>
      </c>
      <c r="G447" s="204" t="s">
        <v>636</v>
      </c>
    </row>
    <row r="448" ht="15.75" customHeight="1">
      <c r="A448" s="174">
        <v>178.0</v>
      </c>
      <c r="B448" s="175">
        <v>46170.0</v>
      </c>
      <c r="C448" s="176">
        <v>100.0</v>
      </c>
      <c r="D448" s="177" t="s">
        <v>637</v>
      </c>
      <c r="E448" s="43" t="s">
        <v>58</v>
      </c>
      <c r="F448" s="43" t="s">
        <v>124</v>
      </c>
      <c r="G448" s="178" t="s">
        <v>638</v>
      </c>
    </row>
    <row r="449" ht="15.75" customHeight="1">
      <c r="A449" s="162">
        <v>178.0</v>
      </c>
      <c r="B449" s="163">
        <v>46170.0</v>
      </c>
      <c r="C449" s="164">
        <v>100.0</v>
      </c>
      <c r="D449" s="165" t="s">
        <v>639</v>
      </c>
      <c r="E449" s="43" t="s">
        <v>59</v>
      </c>
      <c r="F449" s="43" t="s">
        <v>124</v>
      </c>
      <c r="G449" s="193">
        <v>2814.0</v>
      </c>
    </row>
    <row r="450" ht="15.75" customHeight="1">
      <c r="A450" s="162">
        <v>178.0</v>
      </c>
      <c r="B450" s="163">
        <v>46170.0</v>
      </c>
      <c r="C450" s="164">
        <v>100.0</v>
      </c>
      <c r="D450" s="165" t="s">
        <v>640</v>
      </c>
      <c r="E450" s="43" t="s">
        <v>8</v>
      </c>
      <c r="F450" s="43" t="s">
        <v>124</v>
      </c>
      <c r="G450" s="193">
        <v>2815.0</v>
      </c>
    </row>
    <row r="451" ht="15.75" customHeight="1">
      <c r="A451" s="162">
        <v>178.0</v>
      </c>
      <c r="B451" s="163">
        <v>46170.0</v>
      </c>
      <c r="C451" s="164">
        <v>100.0</v>
      </c>
      <c r="D451" s="165" t="s">
        <v>641</v>
      </c>
      <c r="E451" s="43" t="s">
        <v>58</v>
      </c>
      <c r="F451" s="166" t="s">
        <v>151</v>
      </c>
      <c r="G451" s="193">
        <v>2809.0</v>
      </c>
    </row>
    <row r="452" ht="15.75" customHeight="1">
      <c r="A452" s="162">
        <v>178.0</v>
      </c>
      <c r="B452" s="163">
        <v>46170.0</v>
      </c>
      <c r="C452" s="164">
        <v>100.0</v>
      </c>
      <c r="D452" s="165" t="s">
        <v>642</v>
      </c>
      <c r="E452" s="43" t="s">
        <v>59</v>
      </c>
      <c r="F452" s="166" t="s">
        <v>151</v>
      </c>
      <c r="G452" s="193">
        <v>2805.0</v>
      </c>
    </row>
    <row r="453" ht="15.75" customHeight="1">
      <c r="A453" s="162">
        <v>178.0</v>
      </c>
      <c r="B453" s="163">
        <v>46170.0</v>
      </c>
      <c r="C453" s="164">
        <v>100.0</v>
      </c>
      <c r="D453" s="165" t="s">
        <v>643</v>
      </c>
      <c r="E453" s="43" t="s">
        <v>8</v>
      </c>
      <c r="F453" s="166" t="s">
        <v>151</v>
      </c>
      <c r="G453" s="193">
        <v>2806.0</v>
      </c>
    </row>
    <row r="454" ht="15.75" customHeight="1">
      <c r="A454" s="162">
        <v>178.0</v>
      </c>
      <c r="B454" s="163">
        <v>46170.0</v>
      </c>
      <c r="C454" s="164">
        <v>100.0</v>
      </c>
      <c r="D454" s="165" t="s">
        <v>644</v>
      </c>
      <c r="E454" s="43" t="s">
        <v>58</v>
      </c>
      <c r="F454" s="166" t="s">
        <v>151</v>
      </c>
      <c r="G454" s="193">
        <v>2807.0</v>
      </c>
    </row>
    <row r="455" ht="15.75" customHeight="1">
      <c r="A455" s="162">
        <v>178.0</v>
      </c>
      <c r="B455" s="163">
        <v>46170.0</v>
      </c>
      <c r="C455" s="164">
        <v>100.0</v>
      </c>
      <c r="D455" s="165" t="s">
        <v>645</v>
      </c>
      <c r="E455" s="43" t="s">
        <v>59</v>
      </c>
      <c r="F455" s="166" t="s">
        <v>151</v>
      </c>
      <c r="G455" s="193">
        <v>2808.0</v>
      </c>
    </row>
    <row r="456" ht="15.75" customHeight="1">
      <c r="A456" s="162">
        <v>178.0</v>
      </c>
      <c r="B456" s="163">
        <v>46170.0</v>
      </c>
      <c r="C456" s="164">
        <v>100.0</v>
      </c>
      <c r="D456" s="165" t="s">
        <v>646</v>
      </c>
      <c r="E456" s="43" t="s">
        <v>8</v>
      </c>
      <c r="F456" s="166" t="s">
        <v>151</v>
      </c>
      <c r="G456" s="193">
        <v>2809.0</v>
      </c>
    </row>
    <row r="457" ht="15.75" customHeight="1">
      <c r="A457" s="165">
        <v>178.0</v>
      </c>
      <c r="B457" s="205">
        <v>46170.0</v>
      </c>
      <c r="C457" s="206">
        <v>100.0</v>
      </c>
      <c r="D457" s="165" t="s">
        <v>647</v>
      </c>
      <c r="E457" s="43" t="s">
        <v>58</v>
      </c>
      <c r="F457" s="166" t="s">
        <v>151</v>
      </c>
      <c r="G457" s="178">
        <v>2810.0</v>
      </c>
    </row>
    <row r="458" ht="15.75" customHeight="1">
      <c r="A458" s="174">
        <v>178.0</v>
      </c>
      <c r="B458" s="175">
        <v>46170.0</v>
      </c>
      <c r="C458" s="176">
        <v>100.0</v>
      </c>
      <c r="D458" s="177" t="s">
        <v>648</v>
      </c>
      <c r="E458" s="43" t="s">
        <v>58</v>
      </c>
      <c r="F458" s="166" t="s">
        <v>151</v>
      </c>
      <c r="G458" s="178" t="s">
        <v>649</v>
      </c>
    </row>
    <row r="459" ht="15.75" customHeight="1">
      <c r="A459" s="165">
        <v>178.0</v>
      </c>
      <c r="B459" s="205">
        <v>46170.0</v>
      </c>
      <c r="C459" s="206">
        <v>326.91</v>
      </c>
      <c r="D459" s="165" t="s">
        <v>650</v>
      </c>
      <c r="E459" s="43" t="s">
        <v>58</v>
      </c>
      <c r="F459" s="166" t="s">
        <v>67</v>
      </c>
      <c r="G459" s="178" t="s">
        <v>651</v>
      </c>
    </row>
    <row r="460" ht="15.75" hidden="1" customHeight="1">
      <c r="A460" s="171">
        <v>176.0</v>
      </c>
      <c r="B460" s="169">
        <v>46148.0</v>
      </c>
      <c r="C460" s="170">
        <v>110.5</v>
      </c>
      <c r="D460" s="43" t="s">
        <v>652</v>
      </c>
      <c r="E460" s="43" t="s">
        <v>57</v>
      </c>
      <c r="F460" s="43" t="s">
        <v>125</v>
      </c>
      <c r="G460" s="172" t="s">
        <v>653</v>
      </c>
    </row>
    <row r="461" ht="15.75" hidden="1" customHeight="1">
      <c r="A461" s="171">
        <v>176.0</v>
      </c>
      <c r="B461" s="169">
        <v>46165.0</v>
      </c>
      <c r="C461" s="170">
        <v>110.5</v>
      </c>
      <c r="D461" s="43" t="s">
        <v>654</v>
      </c>
      <c r="E461" s="43" t="s">
        <v>57</v>
      </c>
      <c r="F461" s="43" t="s">
        <v>125</v>
      </c>
      <c r="G461" s="172" t="s">
        <v>655</v>
      </c>
    </row>
    <row r="462" ht="15.75" hidden="1" customHeight="1">
      <c r="A462" s="168">
        <v>176.0</v>
      </c>
      <c r="B462" s="169">
        <v>46147.0</v>
      </c>
      <c r="C462" s="170">
        <v>560.0</v>
      </c>
      <c r="D462" s="43" t="s">
        <v>656</v>
      </c>
      <c r="E462" s="43" t="s">
        <v>57</v>
      </c>
      <c r="F462" s="43" t="s">
        <v>128</v>
      </c>
      <c r="G462" s="161" t="s">
        <v>657</v>
      </c>
    </row>
    <row r="463" ht="15.75" hidden="1" customHeight="1">
      <c r="A463" s="168">
        <v>176.0</v>
      </c>
      <c r="B463" s="169">
        <v>46156.0</v>
      </c>
      <c r="C463" s="170">
        <v>1225.0</v>
      </c>
      <c r="D463" s="43" t="s">
        <v>656</v>
      </c>
      <c r="E463" s="43" t="s">
        <v>57</v>
      </c>
      <c r="F463" s="43" t="s">
        <v>128</v>
      </c>
      <c r="G463" s="161" t="s">
        <v>170</v>
      </c>
    </row>
    <row r="464" ht="15.75" hidden="1" customHeight="1">
      <c r="A464" s="168">
        <v>176.0</v>
      </c>
      <c r="B464" s="169">
        <v>46162.0</v>
      </c>
      <c r="C464" s="170">
        <v>980.0</v>
      </c>
      <c r="D464" s="43" t="s">
        <v>656</v>
      </c>
      <c r="E464" s="43" t="s">
        <v>57</v>
      </c>
      <c r="F464" s="43" t="s">
        <v>128</v>
      </c>
      <c r="G464" s="161" t="s">
        <v>369</v>
      </c>
    </row>
    <row r="465" ht="15.75" hidden="1" customHeight="1">
      <c r="A465" s="168">
        <v>176.0</v>
      </c>
      <c r="B465" s="169">
        <v>46167.0</v>
      </c>
      <c r="C465" s="170">
        <v>350.0</v>
      </c>
      <c r="D465" s="43" t="s">
        <v>656</v>
      </c>
      <c r="E465" s="43" t="s">
        <v>57</v>
      </c>
      <c r="F465" s="43" t="s">
        <v>128</v>
      </c>
      <c r="G465" s="161" t="s">
        <v>658</v>
      </c>
    </row>
    <row r="466" ht="15.75" hidden="1" customHeight="1">
      <c r="A466" s="168">
        <v>176.0</v>
      </c>
      <c r="B466" s="169">
        <v>46170.0</v>
      </c>
      <c r="C466" s="170">
        <v>1120.0</v>
      </c>
      <c r="D466" s="43" t="s">
        <v>656</v>
      </c>
      <c r="E466" s="43" t="s">
        <v>57</v>
      </c>
      <c r="F466" s="43" t="s">
        <v>128</v>
      </c>
      <c r="G466" s="161" t="s">
        <v>659</v>
      </c>
    </row>
    <row r="467" ht="15.75" hidden="1" customHeight="1">
      <c r="A467" s="168">
        <v>176.0</v>
      </c>
      <c r="B467" s="169">
        <v>46158.0</v>
      </c>
      <c r="C467" s="170">
        <v>12.5</v>
      </c>
      <c r="D467" s="43" t="s">
        <v>660</v>
      </c>
      <c r="E467" s="43" t="s">
        <v>57</v>
      </c>
      <c r="F467" s="43" t="s">
        <v>80</v>
      </c>
      <c r="G467" s="161" t="s">
        <v>505</v>
      </c>
    </row>
    <row r="468" ht="15.75" hidden="1" customHeight="1">
      <c r="A468" s="168">
        <v>176.0</v>
      </c>
      <c r="B468" s="169">
        <v>46158.0</v>
      </c>
      <c r="C468" s="170">
        <v>19.0</v>
      </c>
      <c r="D468" s="43" t="s">
        <v>660</v>
      </c>
      <c r="E468" s="43" t="s">
        <v>57</v>
      </c>
      <c r="F468" s="43" t="s">
        <v>80</v>
      </c>
      <c r="G468" s="161" t="s">
        <v>661</v>
      </c>
    </row>
    <row r="469" ht="15.75" hidden="1" customHeight="1">
      <c r="A469" s="168">
        <v>176.0</v>
      </c>
      <c r="B469" s="169">
        <v>46148.0</v>
      </c>
      <c r="C469" s="170">
        <v>30.0</v>
      </c>
      <c r="D469" s="183" t="s">
        <v>662</v>
      </c>
      <c r="E469" s="43" t="s">
        <v>57</v>
      </c>
      <c r="F469" s="43" t="s">
        <v>80</v>
      </c>
      <c r="G469" s="172" t="s">
        <v>663</v>
      </c>
    </row>
    <row r="470" ht="15.75" hidden="1" customHeight="1">
      <c r="A470" s="171">
        <v>176.0</v>
      </c>
      <c r="B470" s="169">
        <v>46143.0</v>
      </c>
      <c r="C470" s="170">
        <v>100.0</v>
      </c>
      <c r="D470" s="43" t="s">
        <v>664</v>
      </c>
      <c r="E470" s="43" t="s">
        <v>57</v>
      </c>
      <c r="F470" s="43" t="s">
        <v>80</v>
      </c>
      <c r="G470" s="172" t="s">
        <v>665</v>
      </c>
    </row>
    <row r="471" ht="15.75" customHeight="1">
      <c r="A471" s="162">
        <v>178.0</v>
      </c>
      <c r="B471" s="163">
        <v>46171.0</v>
      </c>
      <c r="C471" s="164">
        <v>693.0</v>
      </c>
      <c r="D471" s="165" t="s">
        <v>666</v>
      </c>
      <c r="E471" s="43" t="s">
        <v>8</v>
      </c>
      <c r="F471" s="166" t="s">
        <v>88</v>
      </c>
      <c r="G471" s="178" t="s">
        <v>667</v>
      </c>
    </row>
    <row r="472" ht="15.75" hidden="1" customHeight="1">
      <c r="A472" s="171">
        <v>176.0</v>
      </c>
      <c r="B472" s="169">
        <v>46147.0</v>
      </c>
      <c r="C472" s="170">
        <v>100.0</v>
      </c>
      <c r="D472" s="43" t="s">
        <v>664</v>
      </c>
      <c r="E472" s="43" t="s">
        <v>57</v>
      </c>
      <c r="F472" s="43" t="s">
        <v>80</v>
      </c>
      <c r="G472" s="172" t="s">
        <v>668</v>
      </c>
    </row>
    <row r="473" ht="15.75" hidden="1" customHeight="1">
      <c r="A473" s="171">
        <v>176.0</v>
      </c>
      <c r="B473" s="169">
        <v>46150.0</v>
      </c>
      <c r="C473" s="170">
        <v>100.0</v>
      </c>
      <c r="D473" s="43" t="s">
        <v>664</v>
      </c>
      <c r="E473" s="43" t="s">
        <v>57</v>
      </c>
      <c r="F473" s="43" t="s">
        <v>80</v>
      </c>
      <c r="G473" s="172" t="s">
        <v>669</v>
      </c>
    </row>
    <row r="474" ht="15.75" hidden="1" customHeight="1">
      <c r="A474" s="168">
        <v>176.0</v>
      </c>
      <c r="B474" s="169">
        <v>46158.0</v>
      </c>
      <c r="C474" s="170">
        <v>100.0</v>
      </c>
      <c r="D474" s="43" t="s">
        <v>664</v>
      </c>
      <c r="E474" s="43" t="s">
        <v>57</v>
      </c>
      <c r="F474" s="43" t="s">
        <v>80</v>
      </c>
      <c r="G474" s="172" t="s">
        <v>669</v>
      </c>
    </row>
    <row r="475" ht="15.75" hidden="1" customHeight="1">
      <c r="A475" s="171">
        <v>176.0</v>
      </c>
      <c r="B475" s="169">
        <v>46163.0</v>
      </c>
      <c r="C475" s="170">
        <v>50.0</v>
      </c>
      <c r="D475" s="43" t="s">
        <v>664</v>
      </c>
      <c r="E475" s="43" t="s">
        <v>57</v>
      </c>
      <c r="F475" s="43" t="s">
        <v>80</v>
      </c>
      <c r="G475" s="172" t="s">
        <v>669</v>
      </c>
    </row>
    <row r="476" ht="15.75" hidden="1" customHeight="1">
      <c r="A476" s="171">
        <v>176.0</v>
      </c>
      <c r="B476" s="169">
        <v>46171.0</v>
      </c>
      <c r="C476" s="170">
        <v>92.0</v>
      </c>
      <c r="D476" s="43" t="s">
        <v>664</v>
      </c>
      <c r="E476" s="43" t="s">
        <v>57</v>
      </c>
      <c r="F476" s="43" t="s">
        <v>80</v>
      </c>
      <c r="G476" s="172" t="s">
        <v>670</v>
      </c>
    </row>
    <row r="477" ht="15.75" hidden="1" customHeight="1">
      <c r="A477" s="171">
        <v>176.0</v>
      </c>
      <c r="B477" s="169">
        <v>46144.0</v>
      </c>
      <c r="C477" s="170">
        <v>20.0</v>
      </c>
      <c r="D477" s="43" t="s">
        <v>671</v>
      </c>
      <c r="E477" s="43" t="s">
        <v>57</v>
      </c>
      <c r="F477" s="43" t="s">
        <v>80</v>
      </c>
      <c r="G477" s="161" t="s">
        <v>672</v>
      </c>
    </row>
    <row r="478" ht="15.75" hidden="1" customHeight="1">
      <c r="A478" s="168">
        <v>176.0</v>
      </c>
      <c r="B478" s="169">
        <v>46144.0</v>
      </c>
      <c r="C478" s="170">
        <v>5.14</v>
      </c>
      <c r="D478" s="43" t="s">
        <v>673</v>
      </c>
      <c r="E478" s="43" t="s">
        <v>57</v>
      </c>
      <c r="F478" s="43" t="s">
        <v>80</v>
      </c>
      <c r="G478" s="172" t="s">
        <v>674</v>
      </c>
    </row>
    <row r="479" ht="15.75" hidden="1" customHeight="1">
      <c r="A479" s="171">
        <v>176.0</v>
      </c>
      <c r="B479" s="169">
        <v>46144.0</v>
      </c>
      <c r="C479" s="170">
        <v>9.93</v>
      </c>
      <c r="D479" s="43" t="s">
        <v>673</v>
      </c>
      <c r="E479" s="43" t="s">
        <v>57</v>
      </c>
      <c r="F479" s="43" t="s">
        <v>80</v>
      </c>
      <c r="G479" s="173" t="s">
        <v>675</v>
      </c>
    </row>
    <row r="480" ht="15.75" hidden="1" customHeight="1">
      <c r="A480" s="171">
        <v>176.0</v>
      </c>
      <c r="B480" s="169">
        <v>46147.0</v>
      </c>
      <c r="C480" s="170">
        <v>14.96</v>
      </c>
      <c r="D480" s="43" t="s">
        <v>673</v>
      </c>
      <c r="E480" s="43" t="s">
        <v>57</v>
      </c>
      <c r="F480" s="43" t="s">
        <v>80</v>
      </c>
      <c r="G480" s="172" t="s">
        <v>676</v>
      </c>
    </row>
    <row r="481" ht="15.75" hidden="1" customHeight="1">
      <c r="A481" s="168">
        <v>176.0</v>
      </c>
      <c r="B481" s="169">
        <v>46148.0</v>
      </c>
      <c r="C481" s="170">
        <v>6.93</v>
      </c>
      <c r="D481" s="43" t="s">
        <v>673</v>
      </c>
      <c r="E481" s="43" t="s">
        <v>57</v>
      </c>
      <c r="F481" s="43" t="s">
        <v>80</v>
      </c>
      <c r="G481" s="172" t="s">
        <v>168</v>
      </c>
    </row>
    <row r="482" ht="15.75" hidden="1" customHeight="1">
      <c r="A482" s="171">
        <v>176.0</v>
      </c>
      <c r="B482" s="169">
        <v>46148.0</v>
      </c>
      <c r="C482" s="170">
        <v>9.97</v>
      </c>
      <c r="D482" s="43" t="s">
        <v>673</v>
      </c>
      <c r="E482" s="43" t="s">
        <v>57</v>
      </c>
      <c r="F482" s="43" t="s">
        <v>80</v>
      </c>
      <c r="G482" s="180" t="s">
        <v>168</v>
      </c>
    </row>
    <row r="483" ht="15.75" hidden="1" customHeight="1">
      <c r="A483" s="168">
        <v>176.0</v>
      </c>
      <c r="B483" s="169">
        <v>46150.0</v>
      </c>
      <c r="C483" s="170">
        <v>6.74</v>
      </c>
      <c r="D483" s="43" t="s">
        <v>673</v>
      </c>
      <c r="E483" s="43" t="s">
        <v>57</v>
      </c>
      <c r="F483" s="43" t="s">
        <v>80</v>
      </c>
      <c r="G483" s="172" t="s">
        <v>677</v>
      </c>
    </row>
    <row r="484" ht="15.75" hidden="1" customHeight="1">
      <c r="A484" s="171">
        <v>176.0</v>
      </c>
      <c r="B484" s="169">
        <v>46151.0</v>
      </c>
      <c r="C484" s="170">
        <v>10.96</v>
      </c>
      <c r="D484" s="43" t="s">
        <v>673</v>
      </c>
      <c r="E484" s="43" t="s">
        <v>57</v>
      </c>
      <c r="F484" s="43" t="s">
        <v>80</v>
      </c>
      <c r="G484" s="161" t="s">
        <v>678</v>
      </c>
    </row>
    <row r="485" hidden="1">
      <c r="A485" s="171">
        <v>176.0</v>
      </c>
      <c r="B485" s="169">
        <v>46151.0</v>
      </c>
      <c r="C485" s="170">
        <v>11.93</v>
      </c>
      <c r="D485" s="43" t="s">
        <v>673</v>
      </c>
      <c r="E485" s="43" t="s">
        <v>57</v>
      </c>
      <c r="F485" s="43" t="s">
        <v>80</v>
      </c>
      <c r="G485" s="161" t="s">
        <v>462</v>
      </c>
    </row>
    <row r="486" ht="15.75" hidden="1" customHeight="1">
      <c r="A486" s="171">
        <v>176.0</v>
      </c>
      <c r="B486" s="169">
        <v>46151.0</v>
      </c>
      <c r="C486" s="170">
        <v>12.94</v>
      </c>
      <c r="D486" s="43" t="s">
        <v>673</v>
      </c>
      <c r="E486" s="43" t="s">
        <v>57</v>
      </c>
      <c r="F486" s="43" t="s">
        <v>80</v>
      </c>
      <c r="G486" s="161" t="s">
        <v>679</v>
      </c>
    </row>
    <row r="487" ht="15.75" hidden="1" customHeight="1">
      <c r="A487" s="168">
        <v>176.0</v>
      </c>
      <c r="B487" s="169">
        <v>46151.0</v>
      </c>
      <c r="C487" s="170">
        <v>14.2</v>
      </c>
      <c r="D487" s="43" t="s">
        <v>673</v>
      </c>
      <c r="E487" s="43" t="s">
        <v>57</v>
      </c>
      <c r="F487" s="43" t="s">
        <v>80</v>
      </c>
      <c r="G487" s="161" t="s">
        <v>680</v>
      </c>
    </row>
    <row r="488" ht="15.75" hidden="1" customHeight="1">
      <c r="A488" s="168">
        <v>176.0</v>
      </c>
      <c r="B488" s="169">
        <v>46151.0</v>
      </c>
      <c r="C488" s="170">
        <v>15.7</v>
      </c>
      <c r="D488" s="43" t="s">
        <v>673</v>
      </c>
      <c r="E488" s="43" t="s">
        <v>57</v>
      </c>
      <c r="F488" s="43" t="s">
        <v>80</v>
      </c>
      <c r="G488" s="161" t="s">
        <v>462</v>
      </c>
    </row>
    <row r="489" ht="15.75" customHeight="1">
      <c r="A489" s="162">
        <v>178.0</v>
      </c>
      <c r="B489" s="163">
        <v>46172.0</v>
      </c>
      <c r="C489" s="164">
        <v>160.5</v>
      </c>
      <c r="D489" s="165" t="s">
        <v>681</v>
      </c>
      <c r="E489" s="43" t="s">
        <v>59</v>
      </c>
      <c r="F489" s="166" t="s">
        <v>124</v>
      </c>
      <c r="G489" s="193">
        <v>3005.0</v>
      </c>
    </row>
    <row r="490" ht="15.75" customHeight="1">
      <c r="A490" s="162">
        <v>178.0</v>
      </c>
      <c r="B490" s="163">
        <v>46172.0</v>
      </c>
      <c r="C490" s="164">
        <v>100.0</v>
      </c>
      <c r="D490" s="165" t="s">
        <v>682</v>
      </c>
      <c r="E490" s="43" t="s">
        <v>58</v>
      </c>
      <c r="F490" s="166" t="s">
        <v>151</v>
      </c>
      <c r="G490" s="193">
        <v>3005.0</v>
      </c>
    </row>
    <row r="491" ht="15.75" customHeight="1">
      <c r="A491" s="162">
        <v>178.0</v>
      </c>
      <c r="B491" s="163">
        <v>46172.0</v>
      </c>
      <c r="C491" s="164">
        <v>100.0</v>
      </c>
      <c r="D491" s="165" t="s">
        <v>683</v>
      </c>
      <c r="E491" s="43" t="s">
        <v>8</v>
      </c>
      <c r="F491" s="166" t="s">
        <v>151</v>
      </c>
      <c r="G491" s="193">
        <v>3006.0</v>
      </c>
    </row>
    <row r="492" ht="15.75" customHeight="1">
      <c r="A492" s="162">
        <v>178.0</v>
      </c>
      <c r="B492" s="163">
        <v>46172.0</v>
      </c>
      <c r="C492" s="164">
        <v>100.0</v>
      </c>
      <c r="D492" s="165" t="s">
        <v>684</v>
      </c>
      <c r="E492" s="43" t="s">
        <v>8</v>
      </c>
      <c r="F492" s="166" t="s">
        <v>151</v>
      </c>
      <c r="G492" s="193">
        <v>3007.0</v>
      </c>
    </row>
    <row r="493" ht="15.75" customHeight="1">
      <c r="A493" s="162">
        <v>178.0</v>
      </c>
      <c r="B493" s="163">
        <v>46172.0</v>
      </c>
      <c r="C493" s="164">
        <v>202.5</v>
      </c>
      <c r="D493" s="165" t="s">
        <v>685</v>
      </c>
      <c r="E493" s="43" t="s">
        <v>8</v>
      </c>
      <c r="F493" s="166" t="s">
        <v>124</v>
      </c>
      <c r="G493" s="178" t="s">
        <v>686</v>
      </c>
    </row>
    <row r="494" ht="15.75" hidden="1" customHeight="1">
      <c r="A494" s="171">
        <v>176.0</v>
      </c>
      <c r="B494" s="169">
        <v>46157.0</v>
      </c>
      <c r="C494" s="170">
        <v>35.0</v>
      </c>
      <c r="D494" s="43" t="s">
        <v>673</v>
      </c>
      <c r="E494" s="43" t="s">
        <v>57</v>
      </c>
      <c r="F494" s="43" t="s">
        <v>80</v>
      </c>
      <c r="G494" s="161" t="s">
        <v>687</v>
      </c>
    </row>
    <row r="495" ht="15.75" hidden="1" customHeight="1">
      <c r="A495" s="168">
        <v>176.0</v>
      </c>
      <c r="B495" s="169">
        <v>46170.0</v>
      </c>
      <c r="C495" s="170">
        <v>25.0</v>
      </c>
      <c r="D495" s="43" t="s">
        <v>673</v>
      </c>
      <c r="E495" s="43" t="s">
        <v>57</v>
      </c>
      <c r="F495" s="43" t="s">
        <v>80</v>
      </c>
      <c r="G495" s="161" t="s">
        <v>688</v>
      </c>
    </row>
    <row r="496" ht="15.75" hidden="1" customHeight="1">
      <c r="A496" s="43"/>
      <c r="B496" s="88"/>
      <c r="C496" s="87"/>
      <c r="D496" s="207"/>
      <c r="E496" s="43"/>
      <c r="F496" s="43"/>
      <c r="G496" s="161"/>
    </row>
    <row r="497" ht="15.75" hidden="1" customHeight="1">
      <c r="A497" s="43"/>
      <c r="B497" s="43"/>
      <c r="C497" s="87"/>
      <c r="D497" s="43"/>
      <c r="E497" s="43"/>
      <c r="F497" s="43"/>
      <c r="G497" s="161"/>
    </row>
    <row r="498" ht="15.75" hidden="1" customHeight="1">
      <c r="A498" s="43"/>
      <c r="B498" s="43"/>
      <c r="C498" s="87"/>
      <c r="D498" s="43"/>
      <c r="E498" s="43"/>
      <c r="F498" s="43"/>
      <c r="G498" s="161"/>
    </row>
    <row r="499" ht="15.75" hidden="1" customHeight="1">
      <c r="A499" s="43"/>
      <c r="B499" s="43"/>
      <c r="C499" s="87"/>
      <c r="D499" s="43"/>
      <c r="E499" s="43"/>
      <c r="F499" s="43"/>
      <c r="G499" s="161"/>
    </row>
    <row r="500" ht="15.75" hidden="1" customHeight="1">
      <c r="A500" s="43"/>
      <c r="B500" s="43"/>
      <c r="C500" s="87"/>
      <c r="D500" s="43"/>
      <c r="E500" s="43"/>
      <c r="F500" s="43"/>
      <c r="G500" s="161"/>
    </row>
    <row r="501" ht="15.75" hidden="1" customHeight="1">
      <c r="A501" s="43"/>
      <c r="B501" s="43"/>
      <c r="C501" s="87"/>
      <c r="D501" s="43"/>
      <c r="E501" s="43"/>
      <c r="F501" s="43"/>
      <c r="G501" s="161"/>
    </row>
    <row r="502" ht="15.75" hidden="1" customHeight="1">
      <c r="A502" s="43"/>
      <c r="B502" s="43"/>
      <c r="C502" s="87"/>
      <c r="D502" s="43"/>
      <c r="E502" s="43"/>
      <c r="F502" s="43"/>
      <c r="G502" s="161"/>
    </row>
    <row r="503" ht="15.75" hidden="1" customHeight="1">
      <c r="A503" s="43"/>
      <c r="B503" s="43"/>
      <c r="C503" s="87"/>
      <c r="D503" s="43"/>
      <c r="E503" s="43"/>
      <c r="F503" s="43"/>
      <c r="G503" s="161"/>
    </row>
    <row r="504" ht="15.75" hidden="1" customHeight="1">
      <c r="A504" s="43"/>
      <c r="B504" s="43"/>
      <c r="C504" s="87"/>
      <c r="D504" s="43"/>
      <c r="E504" s="43"/>
      <c r="F504" s="43"/>
      <c r="G504" s="161"/>
    </row>
    <row r="505" ht="15.75" hidden="1" customHeight="1">
      <c r="A505" s="43"/>
      <c r="B505" s="43"/>
      <c r="C505" s="87"/>
      <c r="D505" s="43"/>
      <c r="E505" s="43"/>
      <c r="F505" s="43"/>
      <c r="G505" s="161"/>
    </row>
    <row r="506" ht="15.75" hidden="1" customHeight="1">
      <c r="A506" s="43"/>
      <c r="B506" s="43"/>
      <c r="C506" s="87"/>
      <c r="D506" s="43"/>
      <c r="E506" s="43"/>
      <c r="F506" s="43"/>
      <c r="G506" s="161"/>
    </row>
    <row r="507" ht="15.75" hidden="1" customHeight="1">
      <c r="A507" s="43"/>
      <c r="B507" s="43"/>
      <c r="C507" s="87"/>
      <c r="D507" s="43"/>
      <c r="E507" s="43"/>
      <c r="F507" s="43"/>
      <c r="G507" s="161"/>
    </row>
    <row r="508" ht="15.75" hidden="1" customHeight="1">
      <c r="A508" s="43"/>
      <c r="B508" s="43"/>
      <c r="C508" s="87"/>
      <c r="D508" s="43"/>
      <c r="E508" s="43"/>
      <c r="F508" s="43"/>
      <c r="G508" s="161"/>
    </row>
    <row r="509" ht="15.75" hidden="1" customHeight="1">
      <c r="A509" s="43"/>
      <c r="B509" s="43"/>
      <c r="C509" s="87"/>
      <c r="D509" s="43"/>
      <c r="E509" s="43"/>
      <c r="F509" s="43"/>
      <c r="G509" s="161"/>
    </row>
    <row r="510" ht="15.75" hidden="1" customHeight="1">
      <c r="A510" s="43"/>
      <c r="B510" s="43"/>
      <c r="C510" s="87"/>
      <c r="D510" s="43"/>
      <c r="E510" s="43"/>
      <c r="F510" s="43"/>
      <c r="G510" s="161"/>
    </row>
    <row r="511" ht="15.75" hidden="1" customHeight="1">
      <c r="A511" s="43"/>
      <c r="B511" s="43"/>
      <c r="C511" s="87"/>
      <c r="D511" s="43"/>
      <c r="E511" s="43"/>
      <c r="F511" s="43"/>
      <c r="G511" s="161"/>
    </row>
    <row r="512" ht="15.75" hidden="1" customHeight="1">
      <c r="A512" s="43"/>
      <c r="B512" s="43"/>
      <c r="C512" s="87"/>
      <c r="D512" s="43"/>
      <c r="E512" s="43"/>
      <c r="F512" s="43"/>
      <c r="G512" s="161"/>
    </row>
    <row r="513" ht="15.75" hidden="1" customHeight="1">
      <c r="A513" s="43"/>
      <c r="B513" s="43"/>
      <c r="C513" s="87"/>
      <c r="D513" s="43"/>
      <c r="E513" s="43"/>
      <c r="F513" s="43"/>
      <c r="G513" s="161"/>
    </row>
    <row r="514" ht="15.75" hidden="1" customHeight="1">
      <c r="A514" s="43"/>
      <c r="B514" s="43"/>
      <c r="C514" s="87"/>
      <c r="D514" s="43"/>
      <c r="E514" s="43"/>
      <c r="F514" s="43"/>
      <c r="G514" s="161"/>
    </row>
    <row r="515" ht="15.75" hidden="1" customHeight="1">
      <c r="A515" s="43"/>
      <c r="B515" s="43"/>
      <c r="C515" s="87"/>
      <c r="D515" s="43"/>
      <c r="E515" s="43"/>
      <c r="F515" s="43"/>
      <c r="G515" s="161"/>
    </row>
    <row r="516" ht="15.75" hidden="1" customHeight="1">
      <c r="A516" s="43"/>
      <c r="B516" s="43"/>
      <c r="C516" s="87"/>
      <c r="D516" s="43"/>
      <c r="E516" s="43"/>
      <c r="F516" s="43"/>
      <c r="G516" s="161"/>
    </row>
    <row r="517" ht="15.75" hidden="1" customHeight="1">
      <c r="A517" s="43"/>
      <c r="B517" s="43"/>
      <c r="C517" s="87"/>
      <c r="D517" s="43"/>
      <c r="E517" s="43"/>
      <c r="F517" s="43"/>
      <c r="G517" s="161"/>
    </row>
    <row r="518" ht="15.75" hidden="1" customHeight="1">
      <c r="A518" s="43"/>
      <c r="B518" s="43"/>
      <c r="C518" s="87"/>
      <c r="D518" s="43"/>
      <c r="E518" s="43"/>
      <c r="F518" s="43"/>
      <c r="G518" s="161"/>
    </row>
    <row r="519" ht="15.75" hidden="1" customHeight="1">
      <c r="A519" s="43"/>
      <c r="B519" s="43"/>
      <c r="C519" s="87"/>
      <c r="D519" s="43"/>
      <c r="E519" s="43"/>
      <c r="F519" s="43"/>
      <c r="G519" s="161"/>
    </row>
    <row r="520" ht="15.75" hidden="1" customHeight="1">
      <c r="A520" s="43"/>
      <c r="B520" s="43"/>
      <c r="C520" s="87"/>
      <c r="D520" s="43"/>
      <c r="E520" s="43"/>
      <c r="F520" s="43"/>
      <c r="G520" s="161"/>
    </row>
    <row r="521" ht="15.75" hidden="1" customHeight="1">
      <c r="A521" s="43"/>
      <c r="B521" s="43"/>
      <c r="C521" s="87"/>
      <c r="D521" s="43"/>
      <c r="E521" s="43"/>
      <c r="F521" s="43"/>
      <c r="G521" s="161"/>
    </row>
    <row r="522" ht="15.75" hidden="1" customHeight="1">
      <c r="A522" s="43"/>
      <c r="B522" s="43"/>
      <c r="C522" s="87"/>
      <c r="D522" s="43"/>
      <c r="E522" s="43"/>
      <c r="F522" s="43"/>
      <c r="G522" s="161"/>
    </row>
    <row r="523" ht="15.75" hidden="1" customHeight="1">
      <c r="A523" s="43"/>
      <c r="B523" s="43"/>
      <c r="C523" s="87"/>
      <c r="D523" s="43"/>
      <c r="E523" s="43"/>
      <c r="F523" s="43"/>
      <c r="G523" s="161"/>
    </row>
    <row r="524" ht="15.75" hidden="1" customHeight="1">
      <c r="A524" s="43"/>
      <c r="B524" s="43"/>
      <c r="C524" s="87"/>
      <c r="D524" s="43"/>
      <c r="E524" s="43"/>
      <c r="F524" s="43"/>
      <c r="G524" s="161"/>
    </row>
    <row r="525" ht="15.75" hidden="1" customHeight="1">
      <c r="A525" s="43"/>
      <c r="B525" s="43"/>
      <c r="C525" s="87"/>
      <c r="D525" s="43"/>
      <c r="E525" s="43"/>
      <c r="F525" s="43"/>
      <c r="G525" s="161"/>
    </row>
    <row r="526" ht="15.75" hidden="1" customHeight="1">
      <c r="A526" s="43"/>
      <c r="B526" s="43"/>
      <c r="C526" s="87"/>
      <c r="D526" s="43"/>
      <c r="E526" s="43"/>
      <c r="F526" s="43"/>
      <c r="G526" s="161"/>
    </row>
    <row r="527" ht="15.75" hidden="1" customHeight="1">
      <c r="A527" s="43"/>
      <c r="B527" s="43"/>
      <c r="C527" s="87"/>
      <c r="D527" s="43"/>
      <c r="E527" s="43"/>
      <c r="F527" s="43"/>
      <c r="G527" s="161"/>
    </row>
    <row r="528" ht="15.75" hidden="1" customHeight="1">
      <c r="A528" s="43"/>
      <c r="B528" s="43"/>
      <c r="C528" s="87"/>
      <c r="D528" s="43"/>
      <c r="E528" s="43"/>
      <c r="F528" s="43"/>
      <c r="G528" s="161"/>
    </row>
    <row r="529" ht="15.75" hidden="1" customHeight="1">
      <c r="A529" s="43"/>
      <c r="B529" s="43"/>
      <c r="C529" s="87"/>
      <c r="D529" s="43"/>
      <c r="E529" s="43"/>
      <c r="F529" s="43"/>
      <c r="G529" s="161"/>
    </row>
    <row r="530" ht="15.75" hidden="1" customHeight="1">
      <c r="A530" s="43"/>
      <c r="B530" s="43"/>
      <c r="C530" s="87"/>
      <c r="D530" s="43"/>
      <c r="E530" s="43"/>
      <c r="F530" s="43"/>
      <c r="G530" s="161"/>
    </row>
    <row r="531" ht="15.75" hidden="1" customHeight="1">
      <c r="A531" s="43"/>
      <c r="B531" s="43"/>
      <c r="C531" s="87"/>
      <c r="D531" s="43"/>
      <c r="E531" s="43"/>
      <c r="F531" s="43"/>
      <c r="G531" s="161"/>
    </row>
    <row r="532" ht="15.75" hidden="1" customHeight="1">
      <c r="A532" s="43"/>
      <c r="B532" s="43"/>
      <c r="C532" s="87"/>
      <c r="D532" s="43"/>
      <c r="E532" s="43"/>
      <c r="F532" s="43"/>
      <c r="G532" s="161"/>
    </row>
    <row r="533" ht="15.75" hidden="1" customHeight="1">
      <c r="A533" s="43"/>
      <c r="B533" s="43"/>
      <c r="C533" s="87"/>
      <c r="D533" s="43"/>
      <c r="E533" s="43"/>
      <c r="F533" s="43"/>
      <c r="G533" s="161"/>
    </row>
    <row r="534" ht="15.75" hidden="1" customHeight="1">
      <c r="A534" s="43"/>
      <c r="B534" s="43"/>
      <c r="C534" s="87"/>
      <c r="D534" s="43"/>
      <c r="E534" s="43"/>
      <c r="F534" s="43"/>
      <c r="G534" s="161"/>
    </row>
    <row r="535" ht="15.75" hidden="1" customHeight="1">
      <c r="A535" s="43"/>
      <c r="B535" s="43"/>
      <c r="C535" s="87"/>
      <c r="D535" s="43"/>
      <c r="E535" s="43"/>
      <c r="F535" s="43"/>
      <c r="G535" s="161"/>
    </row>
    <row r="536" ht="15.75" hidden="1" customHeight="1">
      <c r="A536" s="43"/>
      <c r="B536" s="43"/>
      <c r="C536" s="87"/>
      <c r="D536" s="43"/>
      <c r="E536" s="43"/>
      <c r="F536" s="43"/>
      <c r="G536" s="161"/>
    </row>
    <row r="537" ht="15.75" hidden="1" customHeight="1">
      <c r="A537" s="43"/>
      <c r="B537" s="43"/>
      <c r="C537" s="87"/>
      <c r="D537" s="43"/>
      <c r="E537" s="43"/>
      <c r="F537" s="43"/>
      <c r="G537" s="161"/>
    </row>
    <row r="538" ht="15.75" hidden="1" customHeight="1">
      <c r="A538" s="43"/>
      <c r="B538" s="43"/>
      <c r="C538" s="87"/>
      <c r="D538" s="43"/>
      <c r="E538" s="43"/>
      <c r="F538" s="43"/>
      <c r="G538" s="161"/>
    </row>
    <row r="539" ht="15.75" hidden="1" customHeight="1">
      <c r="A539" s="43"/>
      <c r="B539" s="43"/>
      <c r="C539" s="87"/>
      <c r="D539" s="43"/>
      <c r="E539" s="43"/>
      <c r="F539" s="43"/>
      <c r="G539" s="161"/>
    </row>
    <row r="540" ht="15.75" hidden="1" customHeight="1">
      <c r="A540" s="43"/>
      <c r="B540" s="43"/>
      <c r="C540" s="87"/>
      <c r="D540" s="43"/>
      <c r="E540" s="43"/>
      <c r="F540" s="43"/>
      <c r="G540" s="161"/>
    </row>
    <row r="541" ht="15.75" hidden="1" customHeight="1">
      <c r="A541" s="43"/>
      <c r="B541" s="43"/>
      <c r="C541" s="87"/>
      <c r="D541" s="43"/>
      <c r="E541" s="43"/>
      <c r="F541" s="43"/>
      <c r="G541" s="161"/>
    </row>
    <row r="542" ht="15.75" hidden="1" customHeight="1">
      <c r="A542" s="43"/>
      <c r="B542" s="43"/>
      <c r="C542" s="87"/>
      <c r="D542" s="43"/>
      <c r="E542" s="43"/>
      <c r="F542" s="43"/>
      <c r="G542" s="161"/>
    </row>
    <row r="543" ht="15.75" hidden="1" customHeight="1">
      <c r="A543" s="43"/>
      <c r="B543" s="43"/>
      <c r="C543" s="87"/>
      <c r="D543" s="43"/>
      <c r="E543" s="43"/>
      <c r="F543" s="43"/>
      <c r="G543" s="161"/>
    </row>
    <row r="544" ht="15.75" hidden="1" customHeight="1">
      <c r="A544" s="43"/>
      <c r="B544" s="43"/>
      <c r="C544" s="87"/>
      <c r="D544" s="43"/>
      <c r="E544" s="43"/>
      <c r="F544" s="43"/>
      <c r="G544" s="161"/>
    </row>
    <row r="545" ht="15.75" hidden="1" customHeight="1">
      <c r="A545" s="43"/>
      <c r="B545" s="43"/>
      <c r="C545" s="87"/>
      <c r="D545" s="43"/>
      <c r="E545" s="43"/>
      <c r="F545" s="43"/>
      <c r="G545" s="161"/>
    </row>
    <row r="546" ht="15.75" hidden="1" customHeight="1">
      <c r="A546" s="43"/>
      <c r="B546" s="43"/>
      <c r="C546" s="87"/>
      <c r="D546" s="43"/>
      <c r="E546" s="43"/>
      <c r="F546" s="43"/>
      <c r="G546" s="161"/>
    </row>
    <row r="547" ht="15.75" hidden="1" customHeight="1">
      <c r="A547" s="43"/>
      <c r="B547" s="43"/>
      <c r="C547" s="87"/>
      <c r="D547" s="43"/>
      <c r="E547" s="43"/>
      <c r="F547" s="43"/>
      <c r="G547" s="161"/>
    </row>
    <row r="548" ht="15.75" hidden="1" customHeight="1">
      <c r="A548" s="43"/>
      <c r="B548" s="43"/>
      <c r="C548" s="87"/>
      <c r="D548" s="43"/>
      <c r="E548" s="43"/>
      <c r="F548" s="43"/>
      <c r="G548" s="161"/>
    </row>
    <row r="549" ht="15.75" hidden="1" customHeight="1">
      <c r="A549" s="43"/>
      <c r="B549" s="43"/>
      <c r="C549" s="87"/>
      <c r="D549" s="43"/>
      <c r="E549" s="43"/>
      <c r="F549" s="43"/>
      <c r="G549" s="161"/>
    </row>
    <row r="550" ht="15.75" hidden="1" customHeight="1">
      <c r="A550" s="43"/>
      <c r="B550" s="43"/>
      <c r="C550" s="87"/>
      <c r="D550" s="43"/>
      <c r="E550" s="43"/>
      <c r="F550" s="43"/>
      <c r="G550" s="161"/>
    </row>
    <row r="551" ht="15.75" hidden="1" customHeight="1">
      <c r="A551" s="43"/>
      <c r="B551" s="43"/>
      <c r="C551" s="87"/>
      <c r="D551" s="43"/>
      <c r="E551" s="43"/>
      <c r="F551" s="43"/>
      <c r="G551" s="161"/>
    </row>
    <row r="552" ht="15.75" hidden="1" customHeight="1">
      <c r="A552" s="43"/>
      <c r="B552" s="43"/>
      <c r="C552" s="87"/>
      <c r="D552" s="43"/>
      <c r="E552" s="43"/>
      <c r="F552" s="43"/>
      <c r="G552" s="161"/>
    </row>
    <row r="553" ht="15.75" hidden="1" customHeight="1">
      <c r="A553" s="43"/>
      <c r="B553" s="43"/>
      <c r="C553" s="87"/>
      <c r="D553" s="43"/>
      <c r="E553" s="43"/>
      <c r="F553" s="43"/>
      <c r="G553" s="161"/>
    </row>
    <row r="554" ht="15.75" hidden="1" customHeight="1">
      <c r="A554" s="43"/>
      <c r="B554" s="43"/>
      <c r="C554" s="87"/>
      <c r="D554" s="43"/>
      <c r="E554" s="43"/>
      <c r="F554" s="43"/>
      <c r="G554" s="161"/>
    </row>
    <row r="555" ht="15.75" hidden="1" customHeight="1">
      <c r="A555" s="43"/>
      <c r="B555" s="43"/>
      <c r="C555" s="87"/>
      <c r="D555" s="43"/>
      <c r="E555" s="43"/>
      <c r="F555" s="43"/>
      <c r="G555" s="161"/>
    </row>
    <row r="556" ht="15.75" hidden="1" customHeight="1">
      <c r="A556" s="43"/>
      <c r="B556" s="43"/>
      <c r="C556" s="87"/>
      <c r="D556" s="43"/>
      <c r="E556" s="43"/>
      <c r="F556" s="43"/>
      <c r="G556" s="161"/>
    </row>
    <row r="557" ht="15.75" hidden="1" customHeight="1">
      <c r="A557" s="43"/>
      <c r="B557" s="43"/>
      <c r="C557" s="87"/>
      <c r="D557" s="43"/>
      <c r="E557" s="43"/>
      <c r="F557" s="43"/>
      <c r="G557" s="161"/>
    </row>
    <row r="558" ht="15.75" hidden="1" customHeight="1">
      <c r="A558" s="43"/>
      <c r="B558" s="43"/>
      <c r="C558" s="87"/>
      <c r="D558" s="43"/>
      <c r="E558" s="43"/>
      <c r="F558" s="43"/>
      <c r="G558" s="161"/>
    </row>
    <row r="559" ht="15.75" hidden="1" customHeight="1">
      <c r="A559" s="43"/>
      <c r="B559" s="43"/>
      <c r="C559" s="87"/>
      <c r="D559" s="43"/>
      <c r="E559" s="43"/>
      <c r="F559" s="43"/>
      <c r="G559" s="161"/>
    </row>
    <row r="560" ht="15.75" hidden="1" customHeight="1">
      <c r="A560" s="43"/>
      <c r="B560" s="43"/>
      <c r="C560" s="87"/>
      <c r="D560" s="43"/>
      <c r="E560" s="43"/>
      <c r="F560" s="43"/>
      <c r="G560" s="161"/>
    </row>
    <row r="561" ht="15.75" hidden="1" customHeight="1">
      <c r="A561" s="43"/>
      <c r="B561" s="43"/>
      <c r="C561" s="87"/>
      <c r="D561" s="43"/>
      <c r="E561" s="43"/>
      <c r="F561" s="43"/>
      <c r="G561" s="161"/>
    </row>
    <row r="562" ht="15.75" hidden="1" customHeight="1">
      <c r="A562" s="43"/>
      <c r="B562" s="43"/>
      <c r="C562" s="87"/>
      <c r="D562" s="43"/>
      <c r="E562" s="43"/>
      <c r="F562" s="43"/>
      <c r="G562" s="161"/>
    </row>
    <row r="563" ht="15.75" hidden="1" customHeight="1">
      <c r="A563" s="43"/>
      <c r="B563" s="43"/>
      <c r="C563" s="87"/>
      <c r="D563" s="43"/>
      <c r="E563" s="43"/>
      <c r="F563" s="43"/>
      <c r="G563" s="161"/>
    </row>
    <row r="564" ht="15.75" hidden="1" customHeight="1">
      <c r="A564" s="43"/>
      <c r="B564" s="43"/>
      <c r="C564" s="87"/>
      <c r="D564" s="43"/>
      <c r="E564" s="43"/>
      <c r="F564" s="43"/>
      <c r="G564" s="161"/>
    </row>
    <row r="565" ht="15.75" hidden="1" customHeight="1">
      <c r="A565" s="43"/>
      <c r="B565" s="43"/>
      <c r="C565" s="87"/>
      <c r="D565" s="43"/>
      <c r="E565" s="43"/>
      <c r="F565" s="43"/>
      <c r="G565" s="161"/>
    </row>
    <row r="566" ht="15.75" hidden="1" customHeight="1">
      <c r="A566" s="43"/>
      <c r="B566" s="43"/>
      <c r="C566" s="87"/>
      <c r="D566" s="43"/>
      <c r="E566" s="43"/>
      <c r="F566" s="43"/>
      <c r="G566" s="161"/>
    </row>
    <row r="567" ht="15.75" hidden="1" customHeight="1">
      <c r="A567" s="43"/>
      <c r="B567" s="43"/>
      <c r="C567" s="87"/>
      <c r="D567" s="43"/>
      <c r="E567" s="43"/>
      <c r="F567" s="43"/>
      <c r="G567" s="161"/>
    </row>
    <row r="568" ht="15.75" hidden="1" customHeight="1">
      <c r="A568" s="43"/>
      <c r="B568" s="43"/>
      <c r="C568" s="87"/>
      <c r="D568" s="43"/>
      <c r="E568" s="43"/>
      <c r="F568" s="43"/>
      <c r="G568" s="161"/>
    </row>
    <row r="569" ht="15.75" hidden="1" customHeight="1">
      <c r="A569" s="43"/>
      <c r="B569" s="43"/>
      <c r="C569" s="87"/>
      <c r="D569" s="43"/>
      <c r="E569" s="43"/>
      <c r="F569" s="43"/>
      <c r="G569" s="161"/>
    </row>
    <row r="570" ht="15.75" hidden="1" customHeight="1">
      <c r="A570" s="43"/>
      <c r="B570" s="43"/>
      <c r="C570" s="87"/>
      <c r="D570" s="43"/>
      <c r="E570" s="43"/>
      <c r="F570" s="43"/>
      <c r="G570" s="161"/>
    </row>
    <row r="571" ht="15.75" hidden="1" customHeight="1">
      <c r="A571" s="43"/>
      <c r="B571" s="43"/>
      <c r="C571" s="87"/>
      <c r="D571" s="43"/>
      <c r="E571" s="43"/>
      <c r="F571" s="43"/>
      <c r="G571" s="161"/>
    </row>
    <row r="572" ht="15.75" hidden="1" customHeight="1">
      <c r="A572" s="43"/>
      <c r="B572" s="43"/>
      <c r="C572" s="87"/>
      <c r="D572" s="43"/>
      <c r="E572" s="43"/>
      <c r="F572" s="43"/>
      <c r="G572" s="161"/>
    </row>
    <row r="573" ht="15.75" hidden="1" customHeight="1">
      <c r="A573" s="43"/>
      <c r="B573" s="43"/>
      <c r="C573" s="87"/>
      <c r="D573" s="43"/>
      <c r="E573" s="43"/>
      <c r="F573" s="43"/>
      <c r="G573" s="161"/>
    </row>
    <row r="574" ht="15.75" hidden="1" customHeight="1">
      <c r="A574" s="43"/>
      <c r="B574" s="43"/>
      <c r="C574" s="87"/>
      <c r="D574" s="43"/>
      <c r="E574" s="43"/>
      <c r="F574" s="43"/>
      <c r="G574" s="161"/>
    </row>
    <row r="575" ht="15.75" hidden="1" customHeight="1">
      <c r="A575" s="43"/>
      <c r="B575" s="43"/>
      <c r="C575" s="87"/>
      <c r="D575" s="43"/>
      <c r="E575" s="43"/>
      <c r="F575" s="43"/>
      <c r="G575" s="161"/>
    </row>
    <row r="576" ht="15.75" hidden="1" customHeight="1">
      <c r="A576" s="43"/>
      <c r="B576" s="43"/>
      <c r="C576" s="87"/>
      <c r="D576" s="43"/>
      <c r="E576" s="43"/>
      <c r="F576" s="43"/>
      <c r="G576" s="161"/>
    </row>
    <row r="577" ht="15.75" hidden="1" customHeight="1">
      <c r="A577" s="43"/>
      <c r="B577" s="43"/>
      <c r="C577" s="87"/>
      <c r="D577" s="43"/>
      <c r="E577" s="43"/>
      <c r="F577" s="43"/>
      <c r="G577" s="161"/>
    </row>
    <row r="578" ht="15.75" hidden="1" customHeight="1">
      <c r="A578" s="43"/>
      <c r="B578" s="43"/>
      <c r="C578" s="87"/>
      <c r="D578" s="43"/>
      <c r="E578" s="43"/>
      <c r="F578" s="43"/>
      <c r="G578" s="161"/>
    </row>
    <row r="579" ht="15.75" hidden="1" customHeight="1">
      <c r="A579" s="43"/>
      <c r="B579" s="43"/>
      <c r="C579" s="87"/>
      <c r="D579" s="43"/>
      <c r="E579" s="43"/>
      <c r="F579" s="43"/>
      <c r="G579" s="161"/>
    </row>
    <row r="580" ht="15.75" hidden="1" customHeight="1">
      <c r="A580" s="43"/>
      <c r="B580" s="43"/>
      <c r="C580" s="87"/>
      <c r="D580" s="43"/>
      <c r="E580" s="43"/>
      <c r="F580" s="43"/>
      <c r="G580" s="161"/>
    </row>
    <row r="581" ht="15.75" hidden="1" customHeight="1">
      <c r="A581" s="43"/>
      <c r="B581" s="43"/>
      <c r="C581" s="87"/>
      <c r="D581" s="43"/>
      <c r="E581" s="43"/>
      <c r="F581" s="43"/>
      <c r="G581" s="161"/>
    </row>
    <row r="582" ht="15.75" hidden="1" customHeight="1">
      <c r="A582" s="43"/>
      <c r="B582" s="43"/>
      <c r="C582" s="87"/>
      <c r="D582" s="43"/>
      <c r="E582" s="43"/>
      <c r="F582" s="43"/>
      <c r="G582" s="161"/>
    </row>
    <row r="583" ht="15.75" hidden="1" customHeight="1">
      <c r="A583" s="43"/>
      <c r="B583" s="43"/>
      <c r="C583" s="87"/>
      <c r="D583" s="43"/>
      <c r="E583" s="43"/>
      <c r="F583" s="43"/>
      <c r="G583" s="161"/>
    </row>
    <row r="584" ht="15.75" hidden="1" customHeight="1">
      <c r="A584" s="43"/>
      <c r="B584" s="43"/>
      <c r="C584" s="87"/>
      <c r="D584" s="43"/>
      <c r="E584" s="43"/>
      <c r="F584" s="43"/>
      <c r="G584" s="161"/>
    </row>
    <row r="585" ht="15.75" hidden="1" customHeight="1">
      <c r="A585" s="43"/>
      <c r="B585" s="43"/>
      <c r="C585" s="87"/>
      <c r="D585" s="43"/>
      <c r="E585" s="43"/>
      <c r="F585" s="43"/>
      <c r="G585" s="161"/>
    </row>
    <row r="586" ht="15.75" hidden="1" customHeight="1">
      <c r="A586" s="43"/>
      <c r="B586" s="43"/>
      <c r="C586" s="87"/>
      <c r="D586" s="43"/>
      <c r="E586" s="43"/>
      <c r="F586" s="43"/>
      <c r="G586" s="161"/>
    </row>
    <row r="587" ht="15.75" hidden="1" customHeight="1">
      <c r="A587" s="43"/>
      <c r="B587" s="43"/>
      <c r="C587" s="87"/>
      <c r="D587" s="43"/>
      <c r="E587" s="43"/>
      <c r="F587" s="43"/>
      <c r="G587" s="161"/>
    </row>
    <row r="588" ht="15.75" hidden="1" customHeight="1">
      <c r="A588" s="43"/>
      <c r="B588" s="43"/>
      <c r="C588" s="87"/>
      <c r="D588" s="43"/>
      <c r="E588" s="43"/>
      <c r="F588" s="43"/>
      <c r="G588" s="161"/>
    </row>
    <row r="589" ht="15.75" hidden="1" customHeight="1">
      <c r="A589" s="43"/>
      <c r="B589" s="43"/>
      <c r="C589" s="87"/>
      <c r="D589" s="43"/>
      <c r="E589" s="43"/>
      <c r="F589" s="43"/>
      <c r="G589" s="161"/>
    </row>
    <row r="590" ht="15.75" hidden="1" customHeight="1">
      <c r="A590" s="43"/>
      <c r="B590" s="43"/>
      <c r="C590" s="87"/>
      <c r="D590" s="43"/>
      <c r="E590" s="43"/>
      <c r="F590" s="43"/>
      <c r="G590" s="161"/>
    </row>
    <row r="591" ht="15.75" hidden="1" customHeight="1">
      <c r="A591" s="43"/>
      <c r="B591" s="43"/>
      <c r="C591" s="87"/>
      <c r="D591" s="43"/>
      <c r="E591" s="43"/>
      <c r="F591" s="43"/>
      <c r="G591" s="161"/>
    </row>
    <row r="592" ht="15.75" hidden="1" customHeight="1">
      <c r="A592" s="43"/>
      <c r="B592" s="43"/>
      <c r="C592" s="87"/>
      <c r="D592" s="43"/>
      <c r="E592" s="43"/>
      <c r="F592" s="43"/>
      <c r="G592" s="161"/>
    </row>
    <row r="593" ht="15.75" hidden="1" customHeight="1">
      <c r="A593" s="43"/>
      <c r="B593" s="43"/>
      <c r="C593" s="87"/>
      <c r="D593" s="43"/>
      <c r="E593" s="43"/>
      <c r="F593" s="43"/>
      <c r="G593" s="161"/>
    </row>
    <row r="594" ht="15.75" hidden="1" customHeight="1">
      <c r="A594" s="43"/>
      <c r="B594" s="43"/>
      <c r="C594" s="87"/>
      <c r="D594" s="43"/>
      <c r="E594" s="43"/>
      <c r="F594" s="43"/>
      <c r="G594" s="161"/>
    </row>
    <row r="595" ht="15.75" hidden="1" customHeight="1">
      <c r="A595" s="43"/>
      <c r="B595" s="43"/>
      <c r="C595" s="87"/>
      <c r="D595" s="43"/>
      <c r="E595" s="43"/>
      <c r="F595" s="43"/>
      <c r="G595" s="161"/>
    </row>
    <row r="596" ht="15.75" hidden="1" customHeight="1">
      <c r="A596" s="43"/>
      <c r="B596" s="43"/>
      <c r="C596" s="87"/>
      <c r="D596" s="43"/>
      <c r="E596" s="43"/>
      <c r="F596" s="43"/>
      <c r="G596" s="161"/>
    </row>
    <row r="597" ht="15.75" hidden="1" customHeight="1">
      <c r="A597" s="43"/>
      <c r="B597" s="43"/>
      <c r="C597" s="87"/>
      <c r="D597" s="43"/>
      <c r="E597" s="43"/>
      <c r="F597" s="43"/>
      <c r="G597" s="161"/>
    </row>
    <row r="598" ht="15.75" hidden="1" customHeight="1">
      <c r="A598" s="43"/>
      <c r="B598" s="43"/>
      <c r="C598" s="87"/>
      <c r="D598" s="43"/>
      <c r="E598" s="43"/>
      <c r="F598" s="43"/>
      <c r="G598" s="161"/>
    </row>
    <row r="599" ht="15.75" hidden="1" customHeight="1">
      <c r="A599" s="43"/>
      <c r="B599" s="43"/>
      <c r="C599" s="87"/>
      <c r="D599" s="43"/>
      <c r="E599" s="43"/>
      <c r="F599" s="43"/>
      <c r="G599" s="161"/>
    </row>
    <row r="600" ht="15.75" hidden="1" customHeight="1">
      <c r="A600" s="43"/>
      <c r="B600" s="43"/>
      <c r="C600" s="87"/>
      <c r="D600" s="43"/>
      <c r="E600" s="43"/>
      <c r="F600" s="43"/>
      <c r="G600" s="161"/>
    </row>
    <row r="601" ht="15.75" hidden="1" customHeight="1">
      <c r="A601" s="43"/>
      <c r="B601" s="43"/>
      <c r="C601" s="87"/>
      <c r="D601" s="43"/>
      <c r="E601" s="43"/>
      <c r="F601" s="43"/>
      <c r="G601" s="161"/>
    </row>
    <row r="602" ht="15.75" hidden="1" customHeight="1">
      <c r="A602" s="43"/>
      <c r="B602" s="43"/>
      <c r="C602" s="87"/>
      <c r="D602" s="43"/>
      <c r="E602" s="43"/>
      <c r="F602" s="43"/>
      <c r="G602" s="161"/>
    </row>
    <row r="603" ht="15.75" hidden="1" customHeight="1">
      <c r="A603" s="43"/>
      <c r="B603" s="43"/>
      <c r="C603" s="87"/>
      <c r="D603" s="43"/>
      <c r="E603" s="43"/>
      <c r="F603" s="43"/>
      <c r="G603" s="161"/>
    </row>
    <row r="604" ht="15.75" hidden="1" customHeight="1">
      <c r="A604" s="43"/>
      <c r="B604" s="43"/>
      <c r="C604" s="87"/>
      <c r="D604" s="43"/>
      <c r="E604" s="43"/>
      <c r="F604" s="43"/>
      <c r="G604" s="161"/>
    </row>
    <row r="605" ht="15.75" hidden="1" customHeight="1">
      <c r="A605" s="43"/>
      <c r="B605" s="43"/>
      <c r="C605" s="87"/>
      <c r="D605" s="43"/>
      <c r="E605" s="43"/>
      <c r="F605" s="43"/>
      <c r="G605" s="161"/>
    </row>
    <row r="606" ht="15.75" hidden="1" customHeight="1">
      <c r="A606" s="43"/>
      <c r="B606" s="43"/>
      <c r="C606" s="87"/>
      <c r="D606" s="43"/>
      <c r="E606" s="43"/>
      <c r="F606" s="43"/>
      <c r="G606" s="161"/>
    </row>
    <row r="607" ht="15.75" hidden="1" customHeight="1">
      <c r="A607" s="43"/>
      <c r="B607" s="43"/>
      <c r="C607" s="87"/>
      <c r="D607" s="43"/>
      <c r="E607" s="43"/>
      <c r="F607" s="43"/>
      <c r="G607" s="161"/>
    </row>
    <row r="608" ht="15.75" hidden="1" customHeight="1">
      <c r="A608" s="43"/>
      <c r="B608" s="43"/>
      <c r="C608" s="87"/>
      <c r="D608" s="43"/>
      <c r="E608" s="43"/>
      <c r="F608" s="43"/>
      <c r="G608" s="161"/>
    </row>
    <row r="609" ht="15.75" hidden="1" customHeight="1">
      <c r="A609" s="43"/>
      <c r="B609" s="43"/>
      <c r="C609" s="87"/>
      <c r="D609" s="43"/>
      <c r="E609" s="43"/>
      <c r="F609" s="43"/>
      <c r="G609" s="161"/>
    </row>
    <row r="610" ht="15.75" hidden="1" customHeight="1">
      <c r="A610" s="43"/>
      <c r="B610" s="43"/>
      <c r="C610" s="87"/>
      <c r="D610" s="43"/>
      <c r="E610" s="43"/>
      <c r="F610" s="43"/>
      <c r="G610" s="161"/>
    </row>
    <row r="611" ht="15.75" hidden="1" customHeight="1">
      <c r="A611" s="43"/>
      <c r="B611" s="43"/>
      <c r="C611" s="87"/>
      <c r="D611" s="43"/>
      <c r="E611" s="43"/>
      <c r="F611" s="43"/>
      <c r="G611" s="161"/>
    </row>
    <row r="612" ht="15.75" hidden="1" customHeight="1">
      <c r="A612" s="43"/>
      <c r="B612" s="43"/>
      <c r="C612" s="87"/>
      <c r="D612" s="43"/>
      <c r="E612" s="43"/>
      <c r="F612" s="43"/>
      <c r="G612" s="161"/>
    </row>
    <row r="613" ht="15.75" hidden="1" customHeight="1">
      <c r="A613" s="43"/>
      <c r="B613" s="43"/>
      <c r="C613" s="87"/>
      <c r="D613" s="43"/>
      <c r="E613" s="43"/>
      <c r="F613" s="43"/>
      <c r="G613" s="161"/>
    </row>
    <row r="614" ht="15.75" hidden="1" customHeight="1">
      <c r="A614" s="43"/>
      <c r="B614" s="43"/>
      <c r="C614" s="87"/>
      <c r="D614" s="43"/>
      <c r="E614" s="43"/>
      <c r="F614" s="43"/>
      <c r="G614" s="161"/>
    </row>
    <row r="615" ht="15.75" hidden="1" customHeight="1">
      <c r="A615" s="43"/>
      <c r="B615" s="43"/>
      <c r="C615" s="87"/>
      <c r="D615" s="43"/>
      <c r="E615" s="43"/>
      <c r="F615" s="43"/>
      <c r="G615" s="161"/>
    </row>
    <row r="616" ht="15.75" hidden="1" customHeight="1">
      <c r="A616" s="43"/>
      <c r="B616" s="43"/>
      <c r="C616" s="87"/>
      <c r="D616" s="43"/>
      <c r="E616" s="43"/>
      <c r="F616" s="43"/>
      <c r="G616" s="161"/>
    </row>
    <row r="617" ht="15.75" hidden="1" customHeight="1">
      <c r="A617" s="43"/>
      <c r="B617" s="43"/>
      <c r="C617" s="87"/>
      <c r="D617" s="43"/>
      <c r="E617" s="43"/>
      <c r="F617" s="43"/>
      <c r="G617" s="161"/>
    </row>
    <row r="618" ht="15.75" hidden="1" customHeight="1">
      <c r="A618" s="43"/>
      <c r="B618" s="43"/>
      <c r="C618" s="87"/>
      <c r="D618" s="43"/>
      <c r="E618" s="43"/>
      <c r="F618" s="43"/>
      <c r="G618" s="161"/>
    </row>
    <row r="619" ht="15.75" hidden="1" customHeight="1">
      <c r="A619" s="43"/>
      <c r="B619" s="43"/>
      <c r="C619" s="87"/>
      <c r="D619" s="43"/>
      <c r="E619" s="43"/>
      <c r="F619" s="43"/>
      <c r="G619" s="161"/>
    </row>
    <row r="620" ht="15.75" hidden="1" customHeight="1">
      <c r="A620" s="43"/>
      <c r="B620" s="43"/>
      <c r="C620" s="87"/>
      <c r="D620" s="43"/>
      <c r="E620" s="43"/>
      <c r="F620" s="43"/>
      <c r="G620" s="161"/>
    </row>
    <row r="621" ht="15.75" hidden="1" customHeight="1">
      <c r="A621" s="43"/>
      <c r="B621" s="43"/>
      <c r="C621" s="87"/>
      <c r="D621" s="43"/>
      <c r="E621" s="43"/>
      <c r="F621" s="43"/>
      <c r="G621" s="161"/>
    </row>
    <row r="622" ht="15.75" hidden="1" customHeight="1">
      <c r="A622" s="43"/>
      <c r="B622" s="43"/>
      <c r="C622" s="87"/>
      <c r="D622" s="43"/>
      <c r="E622" s="43"/>
      <c r="F622" s="43"/>
      <c r="G622" s="161"/>
    </row>
    <row r="623" ht="15.75" hidden="1" customHeight="1">
      <c r="A623" s="43"/>
      <c r="B623" s="43"/>
      <c r="C623" s="87"/>
      <c r="D623" s="43"/>
      <c r="E623" s="43"/>
      <c r="F623" s="43"/>
      <c r="G623" s="161"/>
    </row>
    <row r="624" ht="15.75" hidden="1" customHeight="1">
      <c r="A624" s="43"/>
      <c r="B624" s="43"/>
      <c r="C624" s="87"/>
      <c r="D624" s="43"/>
      <c r="E624" s="43"/>
      <c r="F624" s="43"/>
      <c r="G624" s="161"/>
    </row>
    <row r="625" ht="15.75" hidden="1" customHeight="1">
      <c r="A625" s="43"/>
      <c r="B625" s="43"/>
      <c r="C625" s="87"/>
      <c r="D625" s="43"/>
      <c r="E625" s="43"/>
      <c r="F625" s="43"/>
      <c r="G625" s="161"/>
    </row>
    <row r="626" ht="15.75" hidden="1" customHeight="1">
      <c r="A626" s="43"/>
      <c r="B626" s="43"/>
      <c r="C626" s="87"/>
      <c r="D626" s="43"/>
      <c r="E626" s="43"/>
      <c r="F626" s="43"/>
      <c r="G626" s="161"/>
    </row>
    <row r="627" ht="15.75" hidden="1" customHeight="1">
      <c r="A627" s="43"/>
      <c r="B627" s="43"/>
      <c r="C627" s="87"/>
      <c r="D627" s="43"/>
      <c r="E627" s="43"/>
      <c r="F627" s="43"/>
      <c r="G627" s="161"/>
    </row>
    <row r="628" ht="15.75" hidden="1" customHeight="1">
      <c r="A628" s="43"/>
      <c r="B628" s="43"/>
      <c r="C628" s="87"/>
      <c r="D628" s="43"/>
      <c r="E628" s="43"/>
      <c r="F628" s="43"/>
      <c r="G628" s="161"/>
    </row>
    <row r="629" ht="15.75" hidden="1" customHeight="1">
      <c r="A629" s="43"/>
      <c r="B629" s="43"/>
      <c r="C629" s="87"/>
      <c r="D629" s="43"/>
      <c r="E629" s="43"/>
      <c r="F629" s="43"/>
      <c r="G629" s="161"/>
    </row>
    <row r="630" ht="15.75" hidden="1" customHeight="1">
      <c r="A630" s="43"/>
      <c r="B630" s="43"/>
      <c r="C630" s="87"/>
      <c r="D630" s="43"/>
      <c r="E630" s="43"/>
      <c r="F630" s="43"/>
      <c r="G630" s="161"/>
    </row>
    <row r="631" ht="15.75" hidden="1" customHeight="1">
      <c r="A631" s="43"/>
      <c r="B631" s="43"/>
      <c r="C631" s="87"/>
      <c r="D631" s="43"/>
      <c r="E631" s="43"/>
      <c r="F631" s="43"/>
      <c r="G631" s="161"/>
    </row>
    <row r="632" ht="15.75" hidden="1" customHeight="1">
      <c r="A632" s="43"/>
      <c r="B632" s="43"/>
      <c r="C632" s="87"/>
      <c r="D632" s="43"/>
      <c r="E632" s="43"/>
      <c r="F632" s="43"/>
      <c r="G632" s="161"/>
    </row>
    <row r="633" ht="15.75" hidden="1" customHeight="1">
      <c r="A633" s="43"/>
      <c r="B633" s="43"/>
      <c r="C633" s="87"/>
      <c r="D633" s="43"/>
      <c r="E633" s="43"/>
      <c r="F633" s="43"/>
      <c r="G633" s="161"/>
    </row>
    <row r="634" ht="15.75" hidden="1" customHeight="1">
      <c r="A634" s="43"/>
      <c r="B634" s="43"/>
      <c r="C634" s="87"/>
      <c r="D634" s="43"/>
      <c r="E634" s="43"/>
      <c r="F634" s="43"/>
      <c r="G634" s="161"/>
    </row>
    <row r="635" ht="15.75" hidden="1" customHeight="1">
      <c r="A635" s="43"/>
      <c r="B635" s="43"/>
      <c r="C635" s="87"/>
      <c r="D635" s="43"/>
      <c r="E635" s="43"/>
      <c r="F635" s="43"/>
      <c r="G635" s="161"/>
    </row>
    <row r="636" ht="15.75" hidden="1" customHeight="1">
      <c r="A636" s="43"/>
      <c r="B636" s="43"/>
      <c r="C636" s="87"/>
      <c r="D636" s="43"/>
      <c r="E636" s="43"/>
      <c r="F636" s="43"/>
      <c r="G636" s="161"/>
    </row>
    <row r="637" ht="15.75" hidden="1" customHeight="1">
      <c r="A637" s="43"/>
      <c r="B637" s="43"/>
      <c r="C637" s="87"/>
      <c r="D637" s="43"/>
      <c r="E637" s="43"/>
      <c r="F637" s="43"/>
      <c r="G637" s="161"/>
    </row>
    <row r="638" ht="15.75" hidden="1" customHeight="1">
      <c r="A638" s="43"/>
      <c r="B638" s="43"/>
      <c r="C638" s="87"/>
      <c r="D638" s="43"/>
      <c r="E638" s="43"/>
      <c r="F638" s="43"/>
      <c r="G638" s="161"/>
    </row>
    <row r="639" ht="15.75" hidden="1" customHeight="1">
      <c r="A639" s="43"/>
      <c r="B639" s="43"/>
      <c r="C639" s="87"/>
      <c r="D639" s="43"/>
      <c r="E639" s="43"/>
      <c r="F639" s="43"/>
      <c r="G639" s="161"/>
    </row>
    <row r="640" ht="15.75" hidden="1" customHeight="1">
      <c r="A640" s="43"/>
      <c r="B640" s="43"/>
      <c r="C640" s="87"/>
      <c r="D640" s="43"/>
      <c r="E640" s="43"/>
      <c r="F640" s="43"/>
      <c r="G640" s="161"/>
    </row>
    <row r="641" ht="15.75" hidden="1" customHeight="1">
      <c r="A641" s="43"/>
      <c r="B641" s="43"/>
      <c r="C641" s="87"/>
      <c r="D641" s="43"/>
      <c r="E641" s="43"/>
      <c r="F641" s="43"/>
      <c r="G641" s="161"/>
    </row>
    <row r="642" ht="15.75" hidden="1" customHeight="1">
      <c r="A642" s="43"/>
      <c r="B642" s="43"/>
      <c r="C642" s="87"/>
      <c r="D642" s="43"/>
      <c r="E642" s="43"/>
      <c r="F642" s="43"/>
      <c r="G642" s="161"/>
    </row>
    <row r="643" ht="15.75" hidden="1" customHeight="1">
      <c r="A643" s="43"/>
      <c r="B643" s="43"/>
      <c r="C643" s="87"/>
      <c r="D643" s="43"/>
      <c r="E643" s="43"/>
      <c r="F643" s="43"/>
      <c r="G643" s="161"/>
    </row>
    <row r="644" ht="15.75" hidden="1" customHeight="1">
      <c r="A644" s="43"/>
      <c r="B644" s="43"/>
      <c r="C644" s="87"/>
      <c r="D644" s="43"/>
      <c r="E644" s="43"/>
      <c r="F644" s="43"/>
      <c r="G644" s="161"/>
    </row>
    <row r="645" ht="15.75" hidden="1" customHeight="1">
      <c r="A645" s="43"/>
      <c r="B645" s="43"/>
      <c r="C645" s="87"/>
      <c r="D645" s="43"/>
      <c r="E645" s="43"/>
      <c r="F645" s="43"/>
      <c r="G645" s="161"/>
    </row>
    <row r="646" ht="15.75" hidden="1" customHeight="1">
      <c r="A646" s="43"/>
      <c r="B646" s="43"/>
      <c r="C646" s="87"/>
      <c r="D646" s="43"/>
      <c r="E646" s="43"/>
      <c r="F646" s="43"/>
      <c r="G646" s="161"/>
    </row>
    <row r="647" ht="15.75" hidden="1" customHeight="1">
      <c r="A647" s="43"/>
      <c r="B647" s="43"/>
      <c r="C647" s="87"/>
      <c r="D647" s="43"/>
      <c r="E647" s="43"/>
      <c r="F647" s="43"/>
      <c r="G647" s="161"/>
    </row>
    <row r="648" ht="15.75" hidden="1" customHeight="1">
      <c r="A648" s="43"/>
      <c r="B648" s="43"/>
      <c r="C648" s="87"/>
      <c r="D648" s="43"/>
      <c r="E648" s="43"/>
      <c r="F648" s="43"/>
      <c r="G648" s="161"/>
    </row>
    <row r="649" ht="15.75" hidden="1" customHeight="1">
      <c r="A649" s="43"/>
      <c r="B649" s="43"/>
      <c r="C649" s="87"/>
      <c r="D649" s="43"/>
      <c r="E649" s="43"/>
      <c r="F649" s="43"/>
      <c r="G649" s="161"/>
    </row>
    <row r="650" ht="15.75" hidden="1" customHeight="1">
      <c r="A650" s="43"/>
      <c r="B650" s="43"/>
      <c r="C650" s="87"/>
      <c r="D650" s="43"/>
      <c r="E650" s="43"/>
      <c r="F650" s="43"/>
      <c r="G650" s="161"/>
    </row>
    <row r="651" ht="15.75" hidden="1" customHeight="1">
      <c r="A651" s="43"/>
      <c r="B651" s="43"/>
      <c r="C651" s="87"/>
      <c r="D651" s="43"/>
      <c r="E651" s="43"/>
      <c r="F651" s="43"/>
      <c r="G651" s="161"/>
    </row>
    <row r="652" ht="15.75" hidden="1" customHeight="1">
      <c r="A652" s="43"/>
      <c r="B652" s="43"/>
      <c r="C652" s="87"/>
      <c r="D652" s="43"/>
      <c r="E652" s="43"/>
      <c r="F652" s="43"/>
      <c r="G652" s="161"/>
    </row>
    <row r="653" ht="15.75" hidden="1" customHeight="1">
      <c r="A653" s="43"/>
      <c r="B653" s="43"/>
      <c r="C653" s="87"/>
      <c r="D653" s="43"/>
      <c r="E653" s="43"/>
      <c r="F653" s="43"/>
      <c r="G653" s="161"/>
    </row>
    <row r="654" ht="15.75" hidden="1" customHeight="1">
      <c r="A654" s="43"/>
      <c r="B654" s="43"/>
      <c r="C654" s="87"/>
      <c r="D654" s="43"/>
      <c r="E654" s="43"/>
      <c r="F654" s="43"/>
      <c r="G654" s="161"/>
    </row>
    <row r="655" ht="15.75" hidden="1" customHeight="1">
      <c r="A655" s="43"/>
      <c r="B655" s="43"/>
      <c r="C655" s="87"/>
      <c r="D655" s="43"/>
      <c r="E655" s="43"/>
      <c r="F655" s="43"/>
      <c r="G655" s="161"/>
    </row>
    <row r="656" ht="15.75" hidden="1" customHeight="1">
      <c r="A656" s="43"/>
      <c r="B656" s="43"/>
      <c r="C656" s="87"/>
      <c r="D656" s="43"/>
      <c r="E656" s="43"/>
      <c r="F656" s="43"/>
      <c r="G656" s="161"/>
    </row>
    <row r="657" ht="15.75" hidden="1" customHeight="1">
      <c r="A657" s="43"/>
      <c r="B657" s="43"/>
      <c r="C657" s="87"/>
      <c r="D657" s="43"/>
      <c r="E657" s="43"/>
      <c r="F657" s="43"/>
      <c r="G657" s="161"/>
    </row>
    <row r="658" ht="15.75" hidden="1" customHeight="1">
      <c r="A658" s="43"/>
      <c r="B658" s="43"/>
      <c r="C658" s="87"/>
      <c r="D658" s="43"/>
      <c r="E658" s="43"/>
      <c r="F658" s="43"/>
      <c r="G658" s="161"/>
    </row>
    <row r="659" ht="15.75" hidden="1" customHeight="1">
      <c r="A659" s="43"/>
      <c r="B659" s="43"/>
      <c r="C659" s="87"/>
      <c r="D659" s="43"/>
      <c r="E659" s="43"/>
      <c r="F659" s="43"/>
      <c r="G659" s="161"/>
    </row>
    <row r="660" ht="15.75" hidden="1" customHeight="1">
      <c r="A660" s="43"/>
      <c r="B660" s="43"/>
      <c r="C660" s="87"/>
      <c r="D660" s="43"/>
      <c r="E660" s="43"/>
      <c r="F660" s="43"/>
      <c r="G660" s="161"/>
    </row>
    <row r="661" ht="15.75" hidden="1" customHeight="1">
      <c r="A661" s="43"/>
      <c r="B661" s="43"/>
      <c r="C661" s="87"/>
      <c r="D661" s="43"/>
      <c r="E661" s="43"/>
      <c r="F661" s="43"/>
      <c r="G661" s="161"/>
    </row>
    <row r="662" ht="15.75" hidden="1" customHeight="1">
      <c r="A662" s="43"/>
      <c r="B662" s="43"/>
      <c r="C662" s="87"/>
      <c r="D662" s="43"/>
      <c r="E662" s="43"/>
      <c r="F662" s="43"/>
      <c r="G662" s="161"/>
    </row>
    <row r="663" ht="15.75" hidden="1" customHeight="1">
      <c r="A663" s="43"/>
      <c r="B663" s="43"/>
      <c r="C663" s="87"/>
      <c r="D663" s="43"/>
      <c r="E663" s="43"/>
      <c r="F663" s="43"/>
      <c r="G663" s="161"/>
    </row>
    <row r="664" ht="15.75" hidden="1" customHeight="1">
      <c r="A664" s="43"/>
      <c r="B664" s="43"/>
      <c r="C664" s="87"/>
      <c r="D664" s="43"/>
      <c r="E664" s="43"/>
      <c r="F664" s="43"/>
      <c r="G664" s="161"/>
    </row>
    <row r="665" ht="15.75" hidden="1" customHeight="1">
      <c r="A665" s="43"/>
      <c r="B665" s="43"/>
      <c r="C665" s="87"/>
      <c r="D665" s="43"/>
      <c r="E665" s="43"/>
      <c r="F665" s="43"/>
      <c r="G665" s="161"/>
    </row>
    <row r="666" ht="15.75" hidden="1" customHeight="1">
      <c r="A666" s="43"/>
      <c r="B666" s="43"/>
      <c r="C666" s="87"/>
      <c r="D666" s="43"/>
      <c r="E666" s="43"/>
      <c r="F666" s="43"/>
      <c r="G666" s="161"/>
    </row>
    <row r="667" ht="15.75" hidden="1" customHeight="1">
      <c r="A667" s="43"/>
      <c r="B667" s="43"/>
      <c r="C667" s="87"/>
      <c r="D667" s="43"/>
      <c r="E667" s="43"/>
      <c r="F667" s="43"/>
      <c r="G667" s="161"/>
    </row>
    <row r="668" ht="15.75" hidden="1" customHeight="1">
      <c r="A668" s="43"/>
      <c r="B668" s="43"/>
      <c r="C668" s="87"/>
      <c r="D668" s="43"/>
      <c r="E668" s="43"/>
      <c r="F668" s="43"/>
      <c r="G668" s="161"/>
    </row>
    <row r="669" ht="15.75" hidden="1" customHeight="1">
      <c r="A669" s="43"/>
      <c r="B669" s="43"/>
      <c r="C669" s="87"/>
      <c r="D669" s="43"/>
      <c r="E669" s="43"/>
      <c r="F669" s="43"/>
      <c r="G669" s="161"/>
    </row>
    <row r="670" ht="15.75" hidden="1" customHeight="1">
      <c r="A670" s="43"/>
      <c r="B670" s="43"/>
      <c r="C670" s="87"/>
      <c r="D670" s="43"/>
      <c r="E670" s="43"/>
      <c r="F670" s="43"/>
      <c r="G670" s="161"/>
    </row>
    <row r="671" ht="15.75" hidden="1" customHeight="1">
      <c r="A671" s="43"/>
      <c r="B671" s="43"/>
      <c r="C671" s="87"/>
      <c r="D671" s="43"/>
      <c r="E671" s="43"/>
      <c r="F671" s="43"/>
      <c r="G671" s="161"/>
    </row>
    <row r="672" ht="15.75" hidden="1" customHeight="1">
      <c r="A672" s="43"/>
      <c r="B672" s="43"/>
      <c r="C672" s="87"/>
      <c r="D672" s="43"/>
      <c r="E672" s="43"/>
      <c r="F672" s="43"/>
      <c r="G672" s="161"/>
    </row>
    <row r="673" ht="15.75" hidden="1" customHeight="1">
      <c r="A673" s="43"/>
      <c r="B673" s="43"/>
      <c r="C673" s="87"/>
      <c r="D673" s="43"/>
      <c r="E673" s="43"/>
      <c r="F673" s="43"/>
      <c r="G673" s="161"/>
    </row>
    <row r="674" ht="15.75" hidden="1" customHeight="1">
      <c r="A674" s="43"/>
      <c r="B674" s="43"/>
      <c r="C674" s="87"/>
      <c r="D674" s="43"/>
      <c r="E674" s="43"/>
      <c r="F674" s="43"/>
      <c r="G674" s="161"/>
    </row>
    <row r="675" ht="15.75" hidden="1" customHeight="1">
      <c r="A675" s="43"/>
      <c r="B675" s="43"/>
      <c r="C675" s="87"/>
      <c r="D675" s="43"/>
      <c r="E675" s="43"/>
      <c r="F675" s="43"/>
      <c r="G675" s="161"/>
    </row>
    <row r="676" ht="15.75" hidden="1" customHeight="1">
      <c r="A676" s="43"/>
      <c r="B676" s="43"/>
      <c r="C676" s="87"/>
      <c r="D676" s="43"/>
      <c r="E676" s="43"/>
      <c r="F676" s="43"/>
      <c r="G676" s="161"/>
    </row>
    <row r="677" ht="15.75" hidden="1" customHeight="1">
      <c r="A677" s="43"/>
      <c r="B677" s="43"/>
      <c r="C677" s="87"/>
      <c r="D677" s="43"/>
      <c r="E677" s="43"/>
      <c r="F677" s="43"/>
      <c r="G677" s="161"/>
    </row>
    <row r="678" ht="15.75" hidden="1" customHeight="1">
      <c r="A678" s="43"/>
      <c r="B678" s="43"/>
      <c r="C678" s="87"/>
      <c r="D678" s="43"/>
      <c r="E678" s="43"/>
      <c r="F678" s="43"/>
      <c r="G678" s="161"/>
    </row>
    <row r="679" ht="15.75" hidden="1" customHeight="1">
      <c r="A679" s="43"/>
      <c r="B679" s="43"/>
      <c r="C679" s="87"/>
      <c r="D679" s="43"/>
      <c r="E679" s="43"/>
      <c r="F679" s="43"/>
      <c r="G679" s="161"/>
    </row>
    <row r="680" ht="15.75" hidden="1" customHeight="1">
      <c r="A680" s="43"/>
      <c r="B680" s="43"/>
      <c r="C680" s="87"/>
      <c r="D680" s="43"/>
      <c r="E680" s="43"/>
      <c r="F680" s="43"/>
      <c r="G680" s="161"/>
    </row>
    <row r="681" ht="15.75" hidden="1" customHeight="1">
      <c r="A681" s="43"/>
      <c r="B681" s="43"/>
      <c r="C681" s="87"/>
      <c r="D681" s="43"/>
      <c r="E681" s="43"/>
      <c r="F681" s="43"/>
      <c r="G681" s="161"/>
    </row>
    <row r="682" ht="15.75" hidden="1" customHeight="1">
      <c r="A682" s="43"/>
      <c r="B682" s="43"/>
      <c r="C682" s="87"/>
      <c r="D682" s="43"/>
      <c r="E682" s="43"/>
      <c r="F682" s="43"/>
      <c r="G682" s="161"/>
    </row>
    <row r="683" ht="15.75" hidden="1" customHeight="1">
      <c r="A683" s="43"/>
      <c r="B683" s="43"/>
      <c r="C683" s="87"/>
      <c r="D683" s="43"/>
      <c r="E683" s="43"/>
      <c r="F683" s="43"/>
      <c r="G683" s="161"/>
    </row>
    <row r="684" ht="15.75" hidden="1" customHeight="1">
      <c r="A684" s="43"/>
      <c r="B684" s="43"/>
      <c r="C684" s="87"/>
      <c r="D684" s="43"/>
      <c r="E684" s="43"/>
      <c r="F684" s="43"/>
      <c r="G684" s="161"/>
    </row>
    <row r="685" ht="15.75" hidden="1" customHeight="1">
      <c r="A685" s="43"/>
      <c r="B685" s="43"/>
      <c r="C685" s="87"/>
      <c r="D685" s="43"/>
      <c r="E685" s="43"/>
      <c r="F685" s="43"/>
      <c r="G685" s="161"/>
    </row>
    <row r="686" ht="15.75" hidden="1" customHeight="1">
      <c r="A686" s="43"/>
      <c r="B686" s="43"/>
      <c r="C686" s="87"/>
      <c r="D686" s="43"/>
      <c r="E686" s="43"/>
      <c r="F686" s="43"/>
      <c r="G686" s="161"/>
    </row>
    <row r="687" ht="15.75" hidden="1" customHeight="1">
      <c r="A687" s="43"/>
      <c r="B687" s="43"/>
      <c r="C687" s="87"/>
      <c r="D687" s="43"/>
      <c r="E687" s="43"/>
      <c r="F687" s="43"/>
      <c r="G687" s="161"/>
    </row>
    <row r="688" ht="15.75" hidden="1" customHeight="1">
      <c r="A688" s="43"/>
      <c r="B688" s="43"/>
      <c r="C688" s="87"/>
      <c r="D688" s="43"/>
      <c r="E688" s="43"/>
      <c r="F688" s="43"/>
      <c r="G688" s="161"/>
    </row>
    <row r="689" ht="15.75" hidden="1" customHeight="1">
      <c r="A689" s="43"/>
      <c r="B689" s="43"/>
      <c r="C689" s="87"/>
      <c r="D689" s="43"/>
      <c r="E689" s="43"/>
      <c r="F689" s="43"/>
      <c r="G689" s="161"/>
    </row>
    <row r="690" ht="15.75" hidden="1" customHeight="1">
      <c r="A690" s="43"/>
      <c r="B690" s="43"/>
      <c r="C690" s="87"/>
      <c r="D690" s="43"/>
      <c r="E690" s="43"/>
      <c r="F690" s="43"/>
      <c r="G690" s="161"/>
    </row>
    <row r="691" ht="15.75" hidden="1" customHeight="1">
      <c r="A691" s="43"/>
      <c r="B691" s="43"/>
      <c r="C691" s="87"/>
      <c r="D691" s="43"/>
      <c r="E691" s="43"/>
      <c r="F691" s="43"/>
      <c r="G691" s="161"/>
    </row>
    <row r="692" ht="15.75" hidden="1" customHeight="1">
      <c r="A692" s="43"/>
      <c r="B692" s="43"/>
      <c r="C692" s="87"/>
      <c r="D692" s="43"/>
      <c r="E692" s="43"/>
      <c r="F692" s="43"/>
      <c r="G692" s="161"/>
    </row>
    <row r="693" ht="15.75" hidden="1" customHeight="1">
      <c r="A693" s="43"/>
      <c r="B693" s="43"/>
      <c r="C693" s="87"/>
      <c r="D693" s="43"/>
      <c r="E693" s="43"/>
      <c r="F693" s="43"/>
      <c r="G693" s="161"/>
    </row>
    <row r="694" ht="15.75" hidden="1" customHeight="1">
      <c r="A694" s="43"/>
      <c r="B694" s="43"/>
      <c r="C694" s="87"/>
      <c r="D694" s="43"/>
      <c r="E694" s="43"/>
      <c r="F694" s="43"/>
      <c r="G694" s="161"/>
    </row>
    <row r="695" ht="15.75" hidden="1" customHeight="1">
      <c r="A695" s="43"/>
      <c r="B695" s="43"/>
      <c r="C695" s="87"/>
      <c r="D695" s="43"/>
      <c r="E695" s="43"/>
      <c r="F695" s="43"/>
      <c r="G695" s="161"/>
    </row>
    <row r="696" ht="15.75" hidden="1" customHeight="1">
      <c r="A696" s="43"/>
      <c r="B696" s="43"/>
      <c r="C696" s="87"/>
      <c r="D696" s="43"/>
      <c r="E696" s="43"/>
      <c r="F696" s="43"/>
      <c r="G696" s="161"/>
    </row>
    <row r="697" ht="15.75" hidden="1" customHeight="1">
      <c r="A697" s="43"/>
      <c r="B697" s="43"/>
      <c r="C697" s="87"/>
      <c r="D697" s="43"/>
      <c r="E697" s="43"/>
      <c r="F697" s="43"/>
      <c r="G697" s="161"/>
    </row>
    <row r="698" ht="15.75" hidden="1" customHeight="1">
      <c r="A698" s="43"/>
      <c r="B698" s="43"/>
      <c r="C698" s="87"/>
      <c r="D698" s="43"/>
      <c r="E698" s="43"/>
      <c r="F698" s="43"/>
      <c r="G698" s="161"/>
    </row>
    <row r="699" ht="15.75" hidden="1" customHeight="1">
      <c r="A699" s="43"/>
      <c r="B699" s="43"/>
      <c r="C699" s="87"/>
      <c r="D699" s="43"/>
      <c r="E699" s="43"/>
      <c r="F699" s="43"/>
      <c r="G699" s="161"/>
    </row>
    <row r="700" ht="15.75" hidden="1" customHeight="1">
      <c r="A700" s="43"/>
      <c r="B700" s="43"/>
      <c r="C700" s="87"/>
      <c r="D700" s="43"/>
      <c r="E700" s="43"/>
      <c r="F700" s="43"/>
      <c r="G700" s="161"/>
    </row>
    <row r="701" ht="15.75" hidden="1" customHeight="1">
      <c r="A701" s="43"/>
      <c r="B701" s="43"/>
      <c r="C701" s="87"/>
      <c r="D701" s="43"/>
      <c r="E701" s="43"/>
      <c r="F701" s="43"/>
      <c r="G701" s="161"/>
    </row>
    <row r="702" ht="15.75" hidden="1" customHeight="1">
      <c r="A702" s="43"/>
      <c r="B702" s="43"/>
      <c r="C702" s="87"/>
      <c r="D702" s="43"/>
      <c r="E702" s="43"/>
      <c r="F702" s="43"/>
      <c r="G702" s="161"/>
    </row>
    <row r="703" ht="15.75" hidden="1" customHeight="1">
      <c r="A703" s="43"/>
      <c r="B703" s="43"/>
      <c r="C703" s="87"/>
      <c r="D703" s="43"/>
      <c r="E703" s="43"/>
      <c r="F703" s="43"/>
      <c r="G703" s="161"/>
    </row>
    <row r="704" ht="15.75" hidden="1" customHeight="1">
      <c r="A704" s="43"/>
      <c r="B704" s="43"/>
      <c r="C704" s="87"/>
      <c r="D704" s="43"/>
      <c r="E704" s="43"/>
      <c r="F704" s="43"/>
      <c r="G704" s="161"/>
    </row>
    <row r="705" ht="15.75" hidden="1" customHeight="1">
      <c r="A705" s="43"/>
      <c r="B705" s="43"/>
      <c r="C705" s="87"/>
      <c r="D705" s="43"/>
      <c r="E705" s="43"/>
      <c r="F705" s="43"/>
      <c r="G705" s="161"/>
    </row>
    <row r="706" ht="15.75" hidden="1" customHeight="1">
      <c r="A706" s="43"/>
      <c r="B706" s="43"/>
      <c r="C706" s="87"/>
      <c r="D706" s="43"/>
      <c r="E706" s="43"/>
      <c r="F706" s="43"/>
      <c r="G706" s="161"/>
    </row>
    <row r="707" ht="15.75" hidden="1" customHeight="1">
      <c r="A707" s="43"/>
      <c r="B707" s="43"/>
      <c r="C707" s="87"/>
      <c r="D707" s="43"/>
      <c r="E707" s="43"/>
      <c r="F707" s="43"/>
      <c r="G707" s="161"/>
    </row>
    <row r="708" ht="15.75" hidden="1" customHeight="1">
      <c r="A708" s="43"/>
      <c r="B708" s="43"/>
      <c r="C708" s="87"/>
      <c r="D708" s="43"/>
      <c r="E708" s="43"/>
      <c r="F708" s="43"/>
      <c r="G708" s="161"/>
    </row>
    <row r="709" ht="15.75" hidden="1" customHeight="1">
      <c r="A709" s="43"/>
      <c r="B709" s="43"/>
      <c r="C709" s="87"/>
      <c r="D709" s="43"/>
      <c r="E709" s="43"/>
      <c r="F709" s="43"/>
      <c r="G709" s="161"/>
    </row>
    <row r="710" ht="15.75" hidden="1" customHeight="1">
      <c r="A710" s="43"/>
      <c r="B710" s="43"/>
      <c r="C710" s="87"/>
      <c r="D710" s="43"/>
      <c r="E710" s="43"/>
      <c r="F710" s="43"/>
      <c r="G710" s="161"/>
    </row>
    <row r="711" ht="15.75" hidden="1" customHeight="1">
      <c r="A711" s="43"/>
      <c r="B711" s="43"/>
      <c r="C711" s="87"/>
      <c r="D711" s="43"/>
      <c r="E711" s="43"/>
      <c r="F711" s="43"/>
      <c r="G711" s="161"/>
    </row>
    <row r="712" ht="15.75" hidden="1" customHeight="1">
      <c r="A712" s="43"/>
      <c r="B712" s="43"/>
      <c r="C712" s="87"/>
      <c r="D712" s="43"/>
      <c r="E712" s="43"/>
      <c r="F712" s="43"/>
      <c r="G712" s="161"/>
    </row>
    <row r="713" ht="15.75" hidden="1" customHeight="1">
      <c r="A713" s="43"/>
      <c r="B713" s="43"/>
      <c r="C713" s="87"/>
      <c r="D713" s="43"/>
      <c r="E713" s="43"/>
      <c r="F713" s="43"/>
      <c r="G713" s="161"/>
    </row>
    <row r="714" ht="15.75" hidden="1" customHeight="1">
      <c r="A714" s="43"/>
      <c r="B714" s="43"/>
      <c r="C714" s="87"/>
      <c r="D714" s="43"/>
      <c r="E714" s="43"/>
      <c r="F714" s="43"/>
      <c r="G714" s="161"/>
    </row>
    <row r="715" ht="15.75" hidden="1" customHeight="1">
      <c r="A715" s="43"/>
      <c r="B715" s="43"/>
      <c r="C715" s="87"/>
      <c r="D715" s="43"/>
      <c r="E715" s="43"/>
      <c r="F715" s="43"/>
      <c r="G715" s="161"/>
    </row>
    <row r="716" ht="15.75" hidden="1" customHeight="1">
      <c r="A716" s="43"/>
      <c r="B716" s="43"/>
      <c r="C716" s="87"/>
      <c r="D716" s="43"/>
      <c r="E716" s="43"/>
      <c r="F716" s="43"/>
      <c r="G716" s="161"/>
    </row>
    <row r="717" ht="15.75" hidden="1" customHeight="1">
      <c r="A717" s="43"/>
      <c r="B717" s="43"/>
      <c r="C717" s="87"/>
      <c r="D717" s="43"/>
      <c r="E717" s="43"/>
      <c r="F717" s="43"/>
      <c r="G717" s="161"/>
    </row>
    <row r="718" ht="15.75" hidden="1" customHeight="1">
      <c r="A718" s="43"/>
      <c r="B718" s="43"/>
      <c r="C718" s="87"/>
      <c r="D718" s="43"/>
      <c r="E718" s="43"/>
      <c r="F718" s="43"/>
      <c r="G718" s="161"/>
    </row>
    <row r="719" ht="15.75" hidden="1" customHeight="1">
      <c r="A719" s="43"/>
      <c r="B719" s="43"/>
      <c r="C719" s="87"/>
      <c r="D719" s="43"/>
      <c r="E719" s="43"/>
      <c r="F719" s="43"/>
      <c r="G719" s="161"/>
    </row>
    <row r="720" ht="15.75" hidden="1" customHeight="1">
      <c r="A720" s="43"/>
      <c r="B720" s="43"/>
      <c r="C720" s="87"/>
      <c r="D720" s="43"/>
      <c r="E720" s="43"/>
      <c r="F720" s="43"/>
      <c r="G720" s="161"/>
    </row>
    <row r="721" ht="15.75" hidden="1" customHeight="1">
      <c r="A721" s="43"/>
      <c r="B721" s="43"/>
      <c r="C721" s="87"/>
      <c r="D721" s="43"/>
      <c r="E721" s="43"/>
      <c r="F721" s="43"/>
      <c r="G721" s="161"/>
    </row>
    <row r="722" ht="15.75" hidden="1" customHeight="1">
      <c r="A722" s="43"/>
      <c r="B722" s="43"/>
      <c r="C722" s="87"/>
      <c r="D722" s="43"/>
      <c r="E722" s="43"/>
      <c r="F722" s="43"/>
      <c r="G722" s="161"/>
    </row>
    <row r="723" ht="15.75" hidden="1" customHeight="1">
      <c r="A723" s="43"/>
      <c r="B723" s="43"/>
      <c r="C723" s="87"/>
      <c r="D723" s="43"/>
      <c r="E723" s="43"/>
      <c r="F723" s="43"/>
      <c r="G723" s="161"/>
    </row>
    <row r="724" ht="15.75" hidden="1" customHeight="1">
      <c r="A724" s="43"/>
      <c r="B724" s="43"/>
      <c r="C724" s="87"/>
      <c r="D724" s="43"/>
      <c r="E724" s="43"/>
      <c r="F724" s="43"/>
      <c r="G724" s="161"/>
    </row>
    <row r="725" ht="15.75" hidden="1" customHeight="1">
      <c r="A725" s="43"/>
      <c r="B725" s="43"/>
      <c r="C725" s="87"/>
      <c r="D725" s="43"/>
      <c r="E725" s="43"/>
      <c r="F725" s="43"/>
      <c r="G725" s="161"/>
    </row>
    <row r="726" ht="15.75" hidden="1" customHeight="1">
      <c r="A726" s="43"/>
      <c r="B726" s="43"/>
      <c r="C726" s="87"/>
      <c r="D726" s="43"/>
      <c r="E726" s="43"/>
      <c r="F726" s="43"/>
      <c r="G726" s="161"/>
    </row>
    <row r="727" ht="15.75" hidden="1" customHeight="1">
      <c r="A727" s="43"/>
      <c r="B727" s="43"/>
      <c r="C727" s="87"/>
      <c r="D727" s="43"/>
      <c r="E727" s="43"/>
      <c r="F727" s="43"/>
      <c r="G727" s="161"/>
    </row>
    <row r="728" ht="15.75" hidden="1" customHeight="1">
      <c r="A728" s="43"/>
      <c r="B728" s="43"/>
      <c r="C728" s="87"/>
      <c r="D728" s="43"/>
      <c r="E728" s="43"/>
      <c r="F728" s="43"/>
      <c r="G728" s="161"/>
    </row>
    <row r="729" ht="15.75" hidden="1" customHeight="1">
      <c r="A729" s="43"/>
      <c r="B729" s="43"/>
      <c r="C729" s="87"/>
      <c r="D729" s="43"/>
      <c r="E729" s="43"/>
      <c r="F729" s="43"/>
      <c r="G729" s="161"/>
    </row>
    <row r="730" ht="15.75" hidden="1" customHeight="1">
      <c r="A730" s="43"/>
      <c r="B730" s="43"/>
      <c r="C730" s="87"/>
      <c r="D730" s="43"/>
      <c r="E730" s="43"/>
      <c r="F730" s="43"/>
      <c r="G730" s="161"/>
    </row>
    <row r="731" ht="15.75" hidden="1" customHeight="1">
      <c r="A731" s="43"/>
      <c r="B731" s="43"/>
      <c r="C731" s="87"/>
      <c r="D731" s="43"/>
      <c r="E731" s="43"/>
      <c r="F731" s="43"/>
      <c r="G731" s="161"/>
    </row>
    <row r="732" ht="15.75" hidden="1" customHeight="1">
      <c r="A732" s="43"/>
      <c r="B732" s="43"/>
      <c r="C732" s="87"/>
      <c r="D732" s="43"/>
      <c r="E732" s="43"/>
      <c r="F732" s="43"/>
      <c r="G732" s="161"/>
    </row>
    <row r="733" ht="15.75" hidden="1" customHeight="1">
      <c r="A733" s="43"/>
      <c r="B733" s="43"/>
      <c r="C733" s="87"/>
      <c r="D733" s="43"/>
      <c r="E733" s="43"/>
      <c r="F733" s="43"/>
      <c r="G733" s="161"/>
    </row>
    <row r="734" ht="15.75" hidden="1" customHeight="1">
      <c r="A734" s="43"/>
      <c r="B734" s="43"/>
      <c r="C734" s="87"/>
      <c r="D734" s="43"/>
      <c r="E734" s="43"/>
      <c r="F734" s="43"/>
      <c r="G734" s="161"/>
    </row>
    <row r="735" ht="15.75" hidden="1" customHeight="1">
      <c r="A735" s="43"/>
      <c r="B735" s="43"/>
      <c r="C735" s="87"/>
      <c r="D735" s="43"/>
      <c r="E735" s="43"/>
      <c r="F735" s="43"/>
      <c r="G735" s="161"/>
    </row>
    <row r="736" ht="15.75" hidden="1" customHeight="1">
      <c r="A736" s="43"/>
      <c r="B736" s="43"/>
      <c r="C736" s="87"/>
      <c r="D736" s="43"/>
      <c r="E736" s="43"/>
      <c r="F736" s="43"/>
      <c r="G736" s="161"/>
    </row>
    <row r="737" ht="15.75" hidden="1" customHeight="1">
      <c r="A737" s="43"/>
      <c r="B737" s="43"/>
      <c r="C737" s="87"/>
      <c r="D737" s="43"/>
      <c r="E737" s="43"/>
      <c r="F737" s="43"/>
      <c r="G737" s="161"/>
    </row>
    <row r="738" ht="15.75" hidden="1" customHeight="1">
      <c r="A738" s="43"/>
      <c r="B738" s="43"/>
      <c r="C738" s="87"/>
      <c r="D738" s="43"/>
      <c r="E738" s="43"/>
      <c r="F738" s="43"/>
      <c r="G738" s="161"/>
    </row>
    <row r="739" ht="15.75" hidden="1" customHeight="1">
      <c r="A739" s="43"/>
      <c r="B739" s="43"/>
      <c r="C739" s="87"/>
      <c r="D739" s="43"/>
      <c r="E739" s="43"/>
      <c r="F739" s="43"/>
      <c r="G739" s="161"/>
    </row>
    <row r="740" ht="15.75" hidden="1" customHeight="1">
      <c r="A740" s="43"/>
      <c r="B740" s="43"/>
      <c r="C740" s="87"/>
      <c r="D740" s="43"/>
      <c r="E740" s="43"/>
      <c r="F740" s="43"/>
      <c r="G740" s="161"/>
    </row>
    <row r="741" ht="15.75" hidden="1" customHeight="1">
      <c r="A741" s="43"/>
      <c r="B741" s="43"/>
      <c r="C741" s="87"/>
      <c r="D741" s="43"/>
      <c r="E741" s="43"/>
      <c r="F741" s="43"/>
      <c r="G741" s="161"/>
    </row>
    <row r="742" ht="15.75" hidden="1" customHeight="1">
      <c r="A742" s="43"/>
      <c r="B742" s="43"/>
      <c r="C742" s="87"/>
      <c r="D742" s="43"/>
      <c r="E742" s="43"/>
      <c r="F742" s="43"/>
      <c r="G742" s="161"/>
    </row>
    <row r="743" ht="15.75" hidden="1" customHeight="1">
      <c r="A743" s="43"/>
      <c r="B743" s="43"/>
      <c r="C743" s="87"/>
      <c r="D743" s="43"/>
      <c r="E743" s="43"/>
      <c r="F743" s="43"/>
      <c r="G743" s="161"/>
    </row>
    <row r="744" ht="15.75" hidden="1" customHeight="1">
      <c r="A744" s="43"/>
      <c r="B744" s="43"/>
      <c r="C744" s="87"/>
      <c r="D744" s="43"/>
      <c r="E744" s="43"/>
      <c r="F744" s="43"/>
      <c r="G744" s="161"/>
    </row>
    <row r="745" ht="15.75" hidden="1" customHeight="1">
      <c r="A745" s="43"/>
      <c r="B745" s="43"/>
      <c r="C745" s="87"/>
      <c r="D745" s="43"/>
      <c r="E745" s="43"/>
      <c r="F745" s="43"/>
      <c r="G745" s="161"/>
    </row>
    <row r="746" ht="15.75" hidden="1" customHeight="1">
      <c r="A746" s="43"/>
      <c r="B746" s="43"/>
      <c r="C746" s="87"/>
      <c r="D746" s="43"/>
      <c r="E746" s="43"/>
      <c r="F746" s="43"/>
      <c r="G746" s="161"/>
    </row>
    <row r="747" ht="15.75" hidden="1" customHeight="1">
      <c r="A747" s="43"/>
      <c r="B747" s="43"/>
      <c r="C747" s="87"/>
      <c r="D747" s="43"/>
      <c r="E747" s="43"/>
      <c r="F747" s="43"/>
      <c r="G747" s="161"/>
    </row>
    <row r="748" ht="15.75" hidden="1" customHeight="1">
      <c r="A748" s="43"/>
      <c r="B748" s="43"/>
      <c r="C748" s="87"/>
      <c r="D748" s="43"/>
      <c r="E748" s="43"/>
      <c r="F748" s="43"/>
      <c r="G748" s="161"/>
    </row>
    <row r="749" ht="15.75" hidden="1" customHeight="1">
      <c r="A749" s="43"/>
      <c r="B749" s="43"/>
      <c r="C749" s="87"/>
      <c r="D749" s="43"/>
      <c r="E749" s="43"/>
      <c r="F749" s="43"/>
      <c r="G749" s="161"/>
    </row>
    <row r="750" ht="15.75" hidden="1" customHeight="1">
      <c r="A750" s="43"/>
      <c r="B750" s="43"/>
      <c r="C750" s="87"/>
      <c r="D750" s="43"/>
      <c r="E750" s="43"/>
      <c r="F750" s="43"/>
      <c r="G750" s="161"/>
    </row>
    <row r="751" ht="15.75" hidden="1" customHeight="1">
      <c r="A751" s="43"/>
      <c r="B751" s="43"/>
      <c r="C751" s="87"/>
      <c r="D751" s="43"/>
      <c r="E751" s="43"/>
      <c r="F751" s="43"/>
      <c r="G751" s="161"/>
    </row>
    <row r="752" ht="15.75" hidden="1" customHeight="1">
      <c r="A752" s="43"/>
      <c r="B752" s="43"/>
      <c r="C752" s="87"/>
      <c r="D752" s="43"/>
      <c r="E752" s="43"/>
      <c r="F752" s="43"/>
      <c r="G752" s="161"/>
    </row>
    <row r="753" ht="15.75" hidden="1" customHeight="1">
      <c r="A753" s="43"/>
      <c r="B753" s="43"/>
      <c r="C753" s="87"/>
      <c r="D753" s="43"/>
      <c r="E753" s="43"/>
      <c r="F753" s="43"/>
      <c r="G753" s="161"/>
    </row>
    <row r="754" ht="15.75" hidden="1" customHeight="1">
      <c r="A754" s="43"/>
      <c r="B754" s="43"/>
      <c r="C754" s="87"/>
      <c r="D754" s="43"/>
      <c r="E754" s="43"/>
      <c r="F754" s="43"/>
      <c r="G754" s="161"/>
    </row>
    <row r="755" ht="15.75" hidden="1" customHeight="1">
      <c r="A755" s="43"/>
      <c r="B755" s="43"/>
      <c r="C755" s="87"/>
      <c r="D755" s="43"/>
      <c r="E755" s="43"/>
      <c r="F755" s="43"/>
      <c r="G755" s="161"/>
    </row>
    <row r="756" ht="15.75" hidden="1" customHeight="1">
      <c r="A756" s="43"/>
      <c r="B756" s="43"/>
      <c r="C756" s="87"/>
      <c r="D756" s="43"/>
      <c r="E756" s="43"/>
      <c r="F756" s="43"/>
      <c r="G756" s="161"/>
    </row>
    <row r="757" ht="15.75" hidden="1" customHeight="1">
      <c r="A757" s="43"/>
      <c r="B757" s="43"/>
      <c r="C757" s="87"/>
      <c r="D757" s="43"/>
      <c r="E757" s="43"/>
      <c r="F757" s="43"/>
      <c r="G757" s="161"/>
    </row>
    <row r="758" ht="15.75" hidden="1" customHeight="1">
      <c r="A758" s="43"/>
      <c r="B758" s="43"/>
      <c r="C758" s="87"/>
      <c r="D758" s="43"/>
      <c r="E758" s="43"/>
      <c r="F758" s="43"/>
      <c r="G758" s="161"/>
    </row>
    <row r="759" ht="15.75" hidden="1" customHeight="1">
      <c r="A759" s="43"/>
      <c r="B759" s="43"/>
      <c r="C759" s="87"/>
      <c r="D759" s="43"/>
      <c r="E759" s="43"/>
      <c r="F759" s="43"/>
      <c r="G759" s="161"/>
    </row>
    <row r="760" ht="15.75" hidden="1" customHeight="1">
      <c r="A760" s="43"/>
      <c r="B760" s="43"/>
      <c r="C760" s="87"/>
      <c r="D760" s="43"/>
      <c r="E760" s="43"/>
      <c r="F760" s="43"/>
      <c r="G760" s="161"/>
    </row>
    <row r="761" ht="15.75" hidden="1" customHeight="1">
      <c r="A761" s="43"/>
      <c r="B761" s="43"/>
      <c r="C761" s="87"/>
      <c r="D761" s="43"/>
      <c r="E761" s="43"/>
      <c r="F761" s="43"/>
      <c r="G761" s="161"/>
    </row>
    <row r="762" ht="15.75" hidden="1" customHeight="1">
      <c r="A762" s="43"/>
      <c r="B762" s="43"/>
      <c r="C762" s="87"/>
      <c r="D762" s="43"/>
      <c r="E762" s="43"/>
      <c r="F762" s="43"/>
      <c r="G762" s="161"/>
    </row>
    <row r="763" ht="15.75" hidden="1" customHeight="1">
      <c r="A763" s="43"/>
      <c r="B763" s="43"/>
      <c r="C763" s="87"/>
      <c r="D763" s="43"/>
      <c r="E763" s="43"/>
      <c r="F763" s="43"/>
      <c r="G763" s="161"/>
    </row>
    <row r="764" ht="15.75" hidden="1" customHeight="1">
      <c r="A764" s="43"/>
      <c r="B764" s="43"/>
      <c r="C764" s="87"/>
      <c r="D764" s="43"/>
      <c r="E764" s="43"/>
      <c r="F764" s="43"/>
      <c r="G764" s="161"/>
    </row>
    <row r="765" ht="15.75" hidden="1" customHeight="1">
      <c r="A765" s="43"/>
      <c r="B765" s="43"/>
      <c r="C765" s="87"/>
      <c r="D765" s="43"/>
      <c r="E765" s="43"/>
      <c r="F765" s="43"/>
      <c r="G765" s="161"/>
    </row>
    <row r="766" ht="15.75" hidden="1" customHeight="1">
      <c r="A766" s="43"/>
      <c r="B766" s="43"/>
      <c r="C766" s="87"/>
      <c r="D766" s="43"/>
      <c r="E766" s="43"/>
      <c r="F766" s="43"/>
      <c r="G766" s="161"/>
    </row>
    <row r="767" ht="15.75" hidden="1" customHeight="1">
      <c r="A767" s="43"/>
      <c r="B767" s="43"/>
      <c r="C767" s="87"/>
      <c r="D767" s="43"/>
      <c r="E767" s="43"/>
      <c r="F767" s="43"/>
      <c r="G767" s="161"/>
    </row>
    <row r="768" ht="15.75" hidden="1" customHeight="1">
      <c r="A768" s="43"/>
      <c r="B768" s="43"/>
      <c r="C768" s="87"/>
      <c r="D768" s="43"/>
      <c r="E768" s="43"/>
      <c r="F768" s="43"/>
      <c r="G768" s="161"/>
    </row>
    <row r="769" ht="15.75" hidden="1" customHeight="1">
      <c r="A769" s="43"/>
      <c r="B769" s="43"/>
      <c r="C769" s="87"/>
      <c r="D769" s="43"/>
      <c r="E769" s="43"/>
      <c r="F769" s="43"/>
      <c r="G769" s="161"/>
    </row>
    <row r="770" ht="15.75" hidden="1" customHeight="1">
      <c r="A770" s="43"/>
      <c r="B770" s="43"/>
      <c r="C770" s="87"/>
      <c r="D770" s="43"/>
      <c r="E770" s="43"/>
      <c r="F770" s="43"/>
      <c r="G770" s="161"/>
    </row>
    <row r="771" ht="15.75" hidden="1" customHeight="1">
      <c r="A771" s="43"/>
      <c r="B771" s="43"/>
      <c r="C771" s="87"/>
      <c r="D771" s="43"/>
      <c r="E771" s="43"/>
      <c r="F771" s="43"/>
      <c r="G771" s="161"/>
    </row>
    <row r="772" ht="15.75" hidden="1" customHeight="1">
      <c r="A772" s="43"/>
      <c r="B772" s="43"/>
      <c r="C772" s="87"/>
      <c r="D772" s="43"/>
      <c r="E772" s="43"/>
      <c r="F772" s="43"/>
      <c r="G772" s="161"/>
    </row>
    <row r="773" ht="15.75" hidden="1" customHeight="1">
      <c r="A773" s="43"/>
      <c r="B773" s="43"/>
      <c r="C773" s="87"/>
      <c r="D773" s="43"/>
      <c r="E773" s="43"/>
      <c r="F773" s="43"/>
      <c r="G773" s="161"/>
    </row>
    <row r="774" ht="15.75" hidden="1" customHeight="1">
      <c r="A774" s="43"/>
      <c r="B774" s="43"/>
      <c r="C774" s="87"/>
      <c r="D774" s="43"/>
      <c r="E774" s="43"/>
      <c r="F774" s="43"/>
      <c r="G774" s="161"/>
    </row>
    <row r="775" ht="15.75" hidden="1" customHeight="1">
      <c r="A775" s="43"/>
      <c r="B775" s="43"/>
      <c r="C775" s="87"/>
      <c r="D775" s="43"/>
      <c r="E775" s="43"/>
      <c r="F775" s="43"/>
      <c r="G775" s="161"/>
    </row>
    <row r="776" ht="15.75" hidden="1" customHeight="1">
      <c r="A776" s="43"/>
      <c r="B776" s="43"/>
      <c r="C776" s="87"/>
      <c r="D776" s="43"/>
      <c r="E776" s="43"/>
      <c r="F776" s="43"/>
      <c r="G776" s="161"/>
    </row>
    <row r="777" ht="15.75" hidden="1" customHeight="1">
      <c r="A777" s="43"/>
      <c r="B777" s="43"/>
      <c r="C777" s="87"/>
      <c r="D777" s="43"/>
      <c r="E777" s="43"/>
      <c r="F777" s="43"/>
      <c r="G777" s="161"/>
    </row>
    <row r="778" ht="15.75" hidden="1" customHeight="1">
      <c r="A778" s="43"/>
      <c r="B778" s="43"/>
      <c r="C778" s="87"/>
      <c r="D778" s="43"/>
      <c r="E778" s="43"/>
      <c r="F778" s="43"/>
      <c r="G778" s="161"/>
    </row>
    <row r="779" ht="15.75" hidden="1" customHeight="1">
      <c r="A779" s="43"/>
      <c r="B779" s="43"/>
      <c r="C779" s="87"/>
      <c r="D779" s="43"/>
      <c r="E779" s="43"/>
      <c r="F779" s="43"/>
      <c r="G779" s="161"/>
    </row>
    <row r="780" ht="15.75" hidden="1" customHeight="1">
      <c r="A780" s="43"/>
      <c r="B780" s="43"/>
      <c r="C780" s="87"/>
      <c r="D780" s="43"/>
      <c r="E780" s="43"/>
      <c r="F780" s="43"/>
      <c r="G780" s="161"/>
    </row>
    <row r="781" ht="15.75" hidden="1" customHeight="1">
      <c r="A781" s="43"/>
      <c r="B781" s="43"/>
      <c r="C781" s="87"/>
      <c r="D781" s="43"/>
      <c r="E781" s="43"/>
      <c r="F781" s="43"/>
      <c r="G781" s="161"/>
    </row>
    <row r="782" ht="15.75" hidden="1" customHeight="1">
      <c r="A782" s="43"/>
      <c r="B782" s="43"/>
      <c r="C782" s="87"/>
      <c r="D782" s="43"/>
      <c r="E782" s="43"/>
      <c r="F782" s="43"/>
      <c r="G782" s="161"/>
    </row>
    <row r="783" ht="15.75" hidden="1" customHeight="1">
      <c r="A783" s="43"/>
      <c r="B783" s="43"/>
      <c r="C783" s="87"/>
      <c r="D783" s="43"/>
      <c r="E783" s="43"/>
      <c r="F783" s="43"/>
      <c r="G783" s="161"/>
    </row>
    <row r="784" ht="15.75" hidden="1" customHeight="1">
      <c r="A784" s="43"/>
      <c r="B784" s="43"/>
      <c r="C784" s="87"/>
      <c r="D784" s="43"/>
      <c r="E784" s="43"/>
      <c r="F784" s="43"/>
      <c r="G784" s="161"/>
    </row>
    <row r="785" ht="15.75" hidden="1" customHeight="1">
      <c r="A785" s="43"/>
      <c r="B785" s="43"/>
      <c r="C785" s="87"/>
      <c r="D785" s="43"/>
      <c r="E785" s="43"/>
      <c r="F785" s="43"/>
      <c r="G785" s="161"/>
    </row>
    <row r="786" ht="15.75" hidden="1" customHeight="1">
      <c r="A786" s="43"/>
      <c r="B786" s="43"/>
      <c r="C786" s="87"/>
      <c r="D786" s="43"/>
      <c r="E786" s="43"/>
      <c r="F786" s="43"/>
      <c r="G786" s="161"/>
    </row>
    <row r="787" ht="15.75" hidden="1" customHeight="1">
      <c r="A787" s="43"/>
      <c r="B787" s="43"/>
      <c r="C787" s="87"/>
      <c r="D787" s="43"/>
      <c r="E787" s="43"/>
      <c r="F787" s="43"/>
      <c r="G787" s="161"/>
    </row>
    <row r="788" ht="15.75" hidden="1" customHeight="1">
      <c r="A788" s="43"/>
      <c r="B788" s="43"/>
      <c r="C788" s="87"/>
      <c r="D788" s="43"/>
      <c r="E788" s="43"/>
      <c r="F788" s="43"/>
      <c r="G788" s="161"/>
    </row>
    <row r="789" ht="15.75" hidden="1" customHeight="1">
      <c r="A789" s="43"/>
      <c r="B789" s="43"/>
      <c r="C789" s="87"/>
      <c r="D789" s="43"/>
      <c r="E789" s="43"/>
      <c r="F789" s="43"/>
      <c r="G789" s="161"/>
    </row>
    <row r="790" ht="15.75" hidden="1" customHeight="1">
      <c r="A790" s="43"/>
      <c r="B790" s="43"/>
      <c r="C790" s="87"/>
      <c r="D790" s="43"/>
      <c r="E790" s="43"/>
      <c r="F790" s="43"/>
      <c r="G790" s="161"/>
    </row>
    <row r="791" ht="15.75" hidden="1" customHeight="1">
      <c r="A791" s="43"/>
      <c r="B791" s="43"/>
      <c r="C791" s="87"/>
      <c r="D791" s="43"/>
      <c r="E791" s="43"/>
      <c r="F791" s="43"/>
      <c r="G791" s="161"/>
    </row>
    <row r="792" ht="15.75" hidden="1" customHeight="1">
      <c r="A792" s="43"/>
      <c r="B792" s="43"/>
      <c r="C792" s="87"/>
      <c r="D792" s="43"/>
      <c r="E792" s="43"/>
      <c r="F792" s="43"/>
      <c r="G792" s="161"/>
    </row>
    <row r="793" ht="15.75" hidden="1" customHeight="1">
      <c r="A793" s="43"/>
      <c r="B793" s="43"/>
      <c r="C793" s="87"/>
      <c r="D793" s="43"/>
      <c r="E793" s="43"/>
      <c r="F793" s="43"/>
      <c r="G793" s="161"/>
    </row>
    <row r="794" ht="15.75" hidden="1" customHeight="1">
      <c r="A794" s="43"/>
      <c r="B794" s="43"/>
      <c r="C794" s="87"/>
      <c r="D794" s="43"/>
      <c r="E794" s="43"/>
      <c r="F794" s="43"/>
      <c r="G794" s="161"/>
    </row>
    <row r="795" ht="15.75" hidden="1" customHeight="1">
      <c r="A795" s="43"/>
      <c r="B795" s="43"/>
      <c r="C795" s="87"/>
      <c r="D795" s="43"/>
      <c r="E795" s="43"/>
      <c r="F795" s="43"/>
      <c r="G795" s="161"/>
    </row>
    <row r="796" ht="15.75" hidden="1" customHeight="1">
      <c r="A796" s="43"/>
      <c r="B796" s="43"/>
      <c r="C796" s="87"/>
      <c r="D796" s="43"/>
      <c r="E796" s="43"/>
      <c r="F796" s="43"/>
      <c r="G796" s="161"/>
    </row>
    <row r="797" ht="15.75" hidden="1" customHeight="1">
      <c r="A797" s="43"/>
      <c r="B797" s="43"/>
      <c r="C797" s="87"/>
      <c r="D797" s="43"/>
      <c r="E797" s="43"/>
      <c r="F797" s="43"/>
      <c r="G797" s="161"/>
    </row>
    <row r="798" ht="15.75" hidden="1" customHeight="1">
      <c r="A798" s="43"/>
      <c r="B798" s="43"/>
      <c r="C798" s="87"/>
      <c r="D798" s="43"/>
      <c r="E798" s="43"/>
      <c r="F798" s="43"/>
      <c r="G798" s="161"/>
    </row>
    <row r="799" ht="15.75" hidden="1" customHeight="1">
      <c r="A799" s="43"/>
      <c r="B799" s="43"/>
      <c r="C799" s="87"/>
      <c r="D799" s="43"/>
      <c r="E799" s="43"/>
      <c r="F799" s="43"/>
      <c r="G799" s="161"/>
    </row>
    <row r="800" ht="15.75" hidden="1" customHeight="1">
      <c r="A800" s="43"/>
      <c r="B800" s="43"/>
      <c r="C800" s="87"/>
      <c r="D800" s="43"/>
      <c r="E800" s="43"/>
      <c r="F800" s="43"/>
      <c r="G800" s="161"/>
    </row>
    <row r="801" ht="15.75" hidden="1" customHeight="1">
      <c r="A801" s="43"/>
      <c r="B801" s="43"/>
      <c r="C801" s="87"/>
      <c r="D801" s="43"/>
      <c r="E801" s="43"/>
      <c r="F801" s="43"/>
      <c r="G801" s="161"/>
    </row>
    <row r="802" ht="15.75" hidden="1" customHeight="1">
      <c r="A802" s="43"/>
      <c r="B802" s="43"/>
      <c r="C802" s="87"/>
      <c r="D802" s="43"/>
      <c r="E802" s="43"/>
      <c r="F802" s="43"/>
      <c r="G802" s="161"/>
    </row>
    <row r="803" ht="15.75" hidden="1" customHeight="1">
      <c r="A803" s="43"/>
      <c r="B803" s="43"/>
      <c r="C803" s="87"/>
      <c r="D803" s="43"/>
      <c r="E803" s="43"/>
      <c r="F803" s="43"/>
      <c r="G803" s="161"/>
    </row>
    <row r="804" ht="15.75" hidden="1" customHeight="1">
      <c r="A804" s="43"/>
      <c r="B804" s="43"/>
      <c r="C804" s="87"/>
      <c r="D804" s="43"/>
      <c r="E804" s="43"/>
      <c r="F804" s="43"/>
      <c r="G804" s="161"/>
    </row>
    <row r="805" ht="15.75" hidden="1" customHeight="1">
      <c r="A805" s="43"/>
      <c r="B805" s="43"/>
      <c r="C805" s="87"/>
      <c r="D805" s="43"/>
      <c r="E805" s="43"/>
      <c r="F805" s="43"/>
      <c r="G805" s="161"/>
    </row>
    <row r="806" ht="15.75" hidden="1" customHeight="1">
      <c r="A806" s="43"/>
      <c r="B806" s="43"/>
      <c r="C806" s="87"/>
      <c r="D806" s="43"/>
      <c r="E806" s="43"/>
      <c r="F806" s="43"/>
      <c r="G806" s="161"/>
    </row>
    <row r="807" ht="15.75" hidden="1" customHeight="1">
      <c r="A807" s="43"/>
      <c r="B807" s="43"/>
      <c r="C807" s="87"/>
      <c r="D807" s="43"/>
      <c r="E807" s="43"/>
      <c r="F807" s="43"/>
      <c r="G807" s="161"/>
    </row>
    <row r="808" ht="15.75" hidden="1" customHeight="1">
      <c r="A808" s="43"/>
      <c r="B808" s="43"/>
      <c r="C808" s="87"/>
      <c r="D808" s="43"/>
      <c r="E808" s="43"/>
      <c r="F808" s="43"/>
      <c r="G808" s="161"/>
    </row>
    <row r="809" ht="15.75" hidden="1" customHeight="1">
      <c r="A809" s="43"/>
      <c r="B809" s="43"/>
      <c r="C809" s="87"/>
      <c r="D809" s="43"/>
      <c r="E809" s="43"/>
      <c r="F809" s="43"/>
      <c r="G809" s="161"/>
    </row>
    <row r="810" ht="15.75" hidden="1" customHeight="1">
      <c r="A810" s="43"/>
      <c r="B810" s="43"/>
      <c r="C810" s="87"/>
      <c r="D810" s="43"/>
      <c r="E810" s="43"/>
      <c r="F810" s="43"/>
      <c r="G810" s="161"/>
    </row>
    <row r="811" ht="15.75" hidden="1" customHeight="1">
      <c r="A811" s="43"/>
      <c r="B811" s="43"/>
      <c r="C811" s="87"/>
      <c r="D811" s="43"/>
      <c r="E811" s="43"/>
      <c r="F811" s="43"/>
      <c r="G811" s="161"/>
    </row>
    <row r="812" ht="15.75" hidden="1" customHeight="1">
      <c r="A812" s="43"/>
      <c r="B812" s="43"/>
      <c r="C812" s="87"/>
      <c r="D812" s="43"/>
      <c r="E812" s="43"/>
      <c r="F812" s="43"/>
      <c r="G812" s="161"/>
    </row>
    <row r="813" ht="15.75" hidden="1" customHeight="1">
      <c r="A813" s="43"/>
      <c r="B813" s="43"/>
      <c r="C813" s="87"/>
      <c r="D813" s="43"/>
      <c r="E813" s="43"/>
      <c r="F813" s="43"/>
      <c r="G813" s="161"/>
    </row>
    <row r="814" ht="15.75" hidden="1" customHeight="1">
      <c r="A814" s="43"/>
      <c r="B814" s="43"/>
      <c r="C814" s="87"/>
      <c r="D814" s="43"/>
      <c r="E814" s="43"/>
      <c r="F814" s="43"/>
      <c r="G814" s="161"/>
    </row>
    <row r="815" ht="15.75" hidden="1" customHeight="1">
      <c r="A815" s="43"/>
      <c r="B815" s="43"/>
      <c r="C815" s="87"/>
      <c r="D815" s="43"/>
      <c r="E815" s="43"/>
      <c r="F815" s="43"/>
      <c r="G815" s="161"/>
    </row>
    <row r="816" ht="15.75" hidden="1" customHeight="1">
      <c r="A816" s="43"/>
      <c r="B816" s="43"/>
      <c r="C816" s="87"/>
      <c r="D816" s="43"/>
      <c r="E816" s="43"/>
      <c r="F816" s="43"/>
      <c r="G816" s="161"/>
    </row>
    <row r="817" ht="15.75" hidden="1" customHeight="1">
      <c r="A817" s="43"/>
      <c r="B817" s="43"/>
      <c r="C817" s="87"/>
      <c r="D817" s="43"/>
      <c r="E817" s="43"/>
      <c r="F817" s="43"/>
      <c r="G817" s="161"/>
    </row>
    <row r="818" ht="15.75" hidden="1" customHeight="1">
      <c r="A818" s="43"/>
      <c r="B818" s="43"/>
      <c r="C818" s="87"/>
      <c r="D818" s="43"/>
      <c r="E818" s="43"/>
      <c r="F818" s="43"/>
      <c r="G818" s="161"/>
    </row>
    <row r="819" ht="15.75" hidden="1" customHeight="1">
      <c r="A819" s="43"/>
      <c r="B819" s="43"/>
      <c r="C819" s="87"/>
      <c r="D819" s="43"/>
      <c r="E819" s="43"/>
      <c r="F819" s="43"/>
      <c r="G819" s="161"/>
    </row>
    <row r="820" ht="15.75" hidden="1" customHeight="1">
      <c r="A820" s="43"/>
      <c r="B820" s="43"/>
      <c r="C820" s="87"/>
      <c r="D820" s="43"/>
      <c r="E820" s="43"/>
      <c r="F820" s="43"/>
      <c r="G820" s="161"/>
    </row>
    <row r="821" ht="15.75" hidden="1" customHeight="1">
      <c r="A821" s="43"/>
      <c r="B821" s="43"/>
      <c r="C821" s="87"/>
      <c r="D821" s="43"/>
      <c r="E821" s="43"/>
      <c r="F821" s="43"/>
      <c r="G821" s="161"/>
    </row>
    <row r="822" ht="15.75" hidden="1" customHeight="1">
      <c r="A822" s="43"/>
      <c r="B822" s="43"/>
      <c r="C822" s="87"/>
      <c r="D822" s="43"/>
      <c r="E822" s="43"/>
      <c r="F822" s="43"/>
      <c r="G822" s="161"/>
    </row>
    <row r="823" ht="15.75" hidden="1" customHeight="1">
      <c r="A823" s="43"/>
      <c r="B823" s="43"/>
      <c r="C823" s="87"/>
      <c r="D823" s="43"/>
      <c r="E823" s="43"/>
      <c r="F823" s="43"/>
      <c r="G823" s="161"/>
    </row>
    <row r="824" ht="15.75" hidden="1" customHeight="1">
      <c r="A824" s="43"/>
      <c r="B824" s="43"/>
      <c r="C824" s="87"/>
      <c r="D824" s="43"/>
      <c r="E824" s="43"/>
      <c r="F824" s="43"/>
      <c r="G824" s="161"/>
    </row>
    <row r="825" ht="15.75" hidden="1" customHeight="1">
      <c r="A825" s="43"/>
      <c r="B825" s="43"/>
      <c r="C825" s="87"/>
      <c r="D825" s="43"/>
      <c r="E825" s="43"/>
      <c r="F825" s="43"/>
      <c r="G825" s="161"/>
    </row>
    <row r="826" ht="15.75" hidden="1" customHeight="1">
      <c r="A826" s="43"/>
      <c r="B826" s="43"/>
      <c r="C826" s="87"/>
      <c r="D826" s="43"/>
      <c r="E826" s="43"/>
      <c r="F826" s="43"/>
      <c r="G826" s="161"/>
    </row>
    <row r="827" ht="15.75" hidden="1" customHeight="1">
      <c r="A827" s="43"/>
      <c r="B827" s="43"/>
      <c r="C827" s="87"/>
      <c r="D827" s="43"/>
      <c r="E827" s="43"/>
      <c r="F827" s="43"/>
      <c r="G827" s="161"/>
    </row>
    <row r="828" ht="15.75" hidden="1" customHeight="1">
      <c r="A828" s="43"/>
      <c r="B828" s="43"/>
      <c r="C828" s="87"/>
      <c r="D828" s="43"/>
      <c r="E828" s="43"/>
      <c r="F828" s="43"/>
      <c r="G828" s="161"/>
    </row>
    <row r="829" ht="15.75" hidden="1" customHeight="1">
      <c r="A829" s="43"/>
      <c r="B829" s="43"/>
      <c r="C829" s="87"/>
      <c r="D829" s="43"/>
      <c r="E829" s="43"/>
      <c r="F829" s="43"/>
      <c r="G829" s="161"/>
    </row>
    <row r="830" ht="15.75" hidden="1" customHeight="1">
      <c r="A830" s="43"/>
      <c r="B830" s="43"/>
      <c r="C830" s="87"/>
      <c r="D830" s="43"/>
      <c r="E830" s="43"/>
      <c r="F830" s="43"/>
      <c r="G830" s="161"/>
    </row>
    <row r="831" ht="15.75" hidden="1" customHeight="1">
      <c r="A831" s="43"/>
      <c r="B831" s="43"/>
      <c r="C831" s="87"/>
      <c r="D831" s="43"/>
      <c r="E831" s="43"/>
      <c r="F831" s="43"/>
      <c r="G831" s="161"/>
    </row>
    <row r="832" ht="15.75" hidden="1" customHeight="1">
      <c r="A832" s="43"/>
      <c r="B832" s="43"/>
      <c r="C832" s="87"/>
      <c r="D832" s="43"/>
      <c r="E832" s="43"/>
      <c r="F832" s="43"/>
      <c r="G832" s="161"/>
    </row>
    <row r="833" ht="15.75" hidden="1" customHeight="1">
      <c r="A833" s="43"/>
      <c r="B833" s="43"/>
      <c r="C833" s="87"/>
      <c r="D833" s="43"/>
      <c r="E833" s="43"/>
      <c r="F833" s="43"/>
      <c r="G833" s="161"/>
    </row>
    <row r="834" ht="15.75" hidden="1" customHeight="1">
      <c r="A834" s="43"/>
      <c r="B834" s="43"/>
      <c r="C834" s="87"/>
      <c r="D834" s="43"/>
      <c r="E834" s="43"/>
      <c r="F834" s="43"/>
      <c r="G834" s="161"/>
    </row>
    <row r="835" ht="15.75" hidden="1" customHeight="1">
      <c r="A835" s="43"/>
      <c r="B835" s="43"/>
      <c r="C835" s="87"/>
      <c r="D835" s="43"/>
      <c r="E835" s="43"/>
      <c r="F835" s="43"/>
      <c r="G835" s="161"/>
    </row>
    <row r="836" ht="15.75" hidden="1" customHeight="1">
      <c r="A836" s="43"/>
      <c r="B836" s="43"/>
      <c r="C836" s="87"/>
      <c r="D836" s="43"/>
      <c r="E836" s="43"/>
      <c r="F836" s="43"/>
      <c r="G836" s="161"/>
    </row>
    <row r="837" ht="15.75" hidden="1" customHeight="1">
      <c r="A837" s="43"/>
      <c r="B837" s="43"/>
      <c r="C837" s="87"/>
      <c r="D837" s="43"/>
      <c r="E837" s="43"/>
      <c r="F837" s="43"/>
      <c r="G837" s="161"/>
    </row>
    <row r="838" ht="15.75" hidden="1" customHeight="1">
      <c r="A838" s="43"/>
      <c r="B838" s="43"/>
      <c r="C838" s="87"/>
      <c r="D838" s="43"/>
      <c r="E838" s="43"/>
      <c r="F838" s="43"/>
      <c r="G838" s="161"/>
    </row>
    <row r="839" ht="15.75" hidden="1" customHeight="1">
      <c r="A839" s="43"/>
      <c r="B839" s="43"/>
      <c r="C839" s="87"/>
      <c r="D839" s="43"/>
      <c r="E839" s="43"/>
      <c r="F839" s="43"/>
      <c r="G839" s="161"/>
    </row>
    <row r="840" ht="15.75" hidden="1" customHeight="1">
      <c r="A840" s="43"/>
      <c r="B840" s="43"/>
      <c r="C840" s="87"/>
      <c r="D840" s="43"/>
      <c r="E840" s="43"/>
      <c r="F840" s="43"/>
      <c r="G840" s="161"/>
    </row>
    <row r="841" ht="15.75" hidden="1" customHeight="1">
      <c r="A841" s="43"/>
      <c r="B841" s="43"/>
      <c r="C841" s="87"/>
      <c r="D841" s="43"/>
      <c r="E841" s="43"/>
      <c r="F841" s="43"/>
      <c r="G841" s="161"/>
    </row>
    <row r="842" ht="15.75" hidden="1" customHeight="1">
      <c r="A842" s="43"/>
      <c r="B842" s="43"/>
      <c r="C842" s="87"/>
      <c r="D842" s="43"/>
      <c r="E842" s="43"/>
      <c r="F842" s="43"/>
      <c r="G842" s="161"/>
    </row>
    <row r="843" ht="15.75" hidden="1" customHeight="1">
      <c r="A843" s="43"/>
      <c r="B843" s="43"/>
      <c r="C843" s="87"/>
      <c r="D843" s="43"/>
      <c r="E843" s="43"/>
      <c r="F843" s="43"/>
      <c r="G843" s="161"/>
    </row>
    <row r="844" ht="15.75" hidden="1" customHeight="1">
      <c r="A844" s="43"/>
      <c r="B844" s="43"/>
      <c r="C844" s="87"/>
      <c r="D844" s="43"/>
      <c r="E844" s="43"/>
      <c r="F844" s="43"/>
      <c r="G844" s="161"/>
    </row>
    <row r="845" ht="15.75" hidden="1" customHeight="1">
      <c r="A845" s="43"/>
      <c r="B845" s="43"/>
      <c r="C845" s="87"/>
      <c r="D845" s="43"/>
      <c r="E845" s="43"/>
      <c r="F845" s="43"/>
      <c r="G845" s="161"/>
    </row>
    <row r="846" ht="15.75" hidden="1" customHeight="1">
      <c r="A846" s="43"/>
      <c r="B846" s="43"/>
      <c r="C846" s="87"/>
      <c r="D846" s="43"/>
      <c r="E846" s="43"/>
      <c r="F846" s="43"/>
      <c r="G846" s="161"/>
    </row>
    <row r="847" ht="15.75" hidden="1" customHeight="1">
      <c r="A847" s="43"/>
      <c r="B847" s="43"/>
      <c r="C847" s="87"/>
      <c r="D847" s="43"/>
      <c r="E847" s="43"/>
      <c r="F847" s="43"/>
      <c r="G847" s="161"/>
    </row>
    <row r="848" ht="15.75" hidden="1" customHeight="1">
      <c r="A848" s="43"/>
      <c r="B848" s="43"/>
      <c r="C848" s="87"/>
      <c r="D848" s="43"/>
      <c r="E848" s="43"/>
      <c r="F848" s="43"/>
      <c r="G848" s="161"/>
    </row>
    <row r="849" ht="15.75" hidden="1" customHeight="1">
      <c r="A849" s="43"/>
      <c r="B849" s="43"/>
      <c r="C849" s="87"/>
      <c r="D849" s="43"/>
      <c r="E849" s="43"/>
      <c r="F849" s="43"/>
      <c r="G849" s="161"/>
    </row>
    <row r="850" ht="15.75" hidden="1" customHeight="1">
      <c r="A850" s="43"/>
      <c r="B850" s="43"/>
      <c r="C850" s="87"/>
      <c r="D850" s="43"/>
      <c r="E850" s="43"/>
      <c r="F850" s="43"/>
      <c r="G850" s="161"/>
    </row>
    <row r="851" ht="15.75" hidden="1" customHeight="1">
      <c r="A851" s="43"/>
      <c r="B851" s="43"/>
      <c r="C851" s="87"/>
      <c r="D851" s="43"/>
      <c r="E851" s="43"/>
      <c r="F851" s="43"/>
      <c r="G851" s="161"/>
    </row>
    <row r="852" ht="15.75" hidden="1" customHeight="1">
      <c r="A852" s="43"/>
      <c r="B852" s="43"/>
      <c r="C852" s="87"/>
      <c r="D852" s="43"/>
      <c r="E852" s="43"/>
      <c r="F852" s="43"/>
      <c r="G852" s="161"/>
    </row>
    <row r="853" ht="15.75" hidden="1" customHeight="1">
      <c r="A853" s="43"/>
      <c r="B853" s="43"/>
      <c r="C853" s="87"/>
      <c r="D853" s="43"/>
      <c r="E853" s="43"/>
      <c r="F853" s="43"/>
      <c r="G853" s="161"/>
    </row>
    <row r="854" ht="15.75" hidden="1" customHeight="1">
      <c r="A854" s="43"/>
      <c r="B854" s="43"/>
      <c r="C854" s="87"/>
      <c r="D854" s="43"/>
      <c r="E854" s="43"/>
      <c r="F854" s="43"/>
      <c r="G854" s="161"/>
    </row>
    <row r="855" ht="15.75" hidden="1" customHeight="1">
      <c r="A855" s="43"/>
      <c r="B855" s="43"/>
      <c r="C855" s="87"/>
      <c r="D855" s="43"/>
      <c r="E855" s="43"/>
      <c r="F855" s="43"/>
      <c r="G855" s="161"/>
    </row>
    <row r="856" ht="15.75" hidden="1" customHeight="1">
      <c r="A856" s="43"/>
      <c r="B856" s="43"/>
      <c r="C856" s="87"/>
      <c r="D856" s="43"/>
      <c r="E856" s="43"/>
      <c r="F856" s="43"/>
      <c r="G856" s="161"/>
    </row>
    <row r="857" ht="15.75" hidden="1" customHeight="1">
      <c r="A857" s="43"/>
      <c r="B857" s="43"/>
      <c r="C857" s="87"/>
      <c r="D857" s="43"/>
      <c r="E857" s="43"/>
      <c r="F857" s="43"/>
      <c r="G857" s="161"/>
    </row>
    <row r="858" ht="15.75" hidden="1" customHeight="1">
      <c r="A858" s="43"/>
      <c r="B858" s="43"/>
      <c r="C858" s="87"/>
      <c r="D858" s="43"/>
      <c r="E858" s="43"/>
      <c r="F858" s="43"/>
      <c r="G858" s="161"/>
    </row>
    <row r="859" ht="15.75" hidden="1" customHeight="1">
      <c r="A859" s="43"/>
      <c r="B859" s="43"/>
      <c r="C859" s="87"/>
      <c r="D859" s="43"/>
      <c r="E859" s="43"/>
      <c r="F859" s="43"/>
      <c r="G859" s="161"/>
    </row>
    <row r="860" ht="15.75" hidden="1" customHeight="1">
      <c r="A860" s="43"/>
      <c r="B860" s="43"/>
      <c r="C860" s="87"/>
      <c r="D860" s="43"/>
      <c r="E860" s="43"/>
      <c r="F860" s="43"/>
      <c r="G860" s="161"/>
    </row>
    <row r="861" ht="15.75" hidden="1" customHeight="1">
      <c r="A861" s="43"/>
      <c r="B861" s="43"/>
      <c r="C861" s="87"/>
      <c r="D861" s="43"/>
      <c r="E861" s="43"/>
      <c r="F861" s="43"/>
      <c r="G861" s="161"/>
    </row>
    <row r="862" ht="15.75" hidden="1" customHeight="1">
      <c r="A862" s="43"/>
      <c r="B862" s="43"/>
      <c r="C862" s="87"/>
      <c r="D862" s="43"/>
      <c r="E862" s="43"/>
      <c r="F862" s="43"/>
      <c r="G862" s="161"/>
    </row>
    <row r="863" ht="15.75" hidden="1" customHeight="1">
      <c r="A863" s="43"/>
      <c r="B863" s="43"/>
      <c r="C863" s="87"/>
      <c r="D863" s="43"/>
      <c r="E863" s="43"/>
      <c r="F863" s="43"/>
      <c r="G863" s="161"/>
    </row>
    <row r="864" ht="15.75" hidden="1" customHeight="1">
      <c r="A864" s="43"/>
      <c r="B864" s="43"/>
      <c r="C864" s="87"/>
      <c r="D864" s="43"/>
      <c r="E864" s="43"/>
      <c r="F864" s="43"/>
      <c r="G864" s="161"/>
    </row>
    <row r="865" ht="15.75" hidden="1" customHeight="1">
      <c r="A865" s="43"/>
      <c r="B865" s="43"/>
      <c r="C865" s="87"/>
      <c r="D865" s="43"/>
      <c r="E865" s="43"/>
      <c r="F865" s="43"/>
      <c r="G865" s="161"/>
    </row>
    <row r="866" ht="15.75" hidden="1" customHeight="1">
      <c r="A866" s="43"/>
      <c r="B866" s="43"/>
      <c r="C866" s="87"/>
      <c r="D866" s="43"/>
      <c r="E866" s="43"/>
      <c r="F866" s="43"/>
      <c r="G866" s="161"/>
    </row>
    <row r="867" ht="15.75" hidden="1" customHeight="1">
      <c r="A867" s="43"/>
      <c r="B867" s="43"/>
      <c r="C867" s="87"/>
      <c r="D867" s="43"/>
      <c r="E867" s="43"/>
      <c r="F867" s="43"/>
      <c r="G867" s="161"/>
    </row>
    <row r="868" ht="15.75" hidden="1" customHeight="1">
      <c r="A868" s="43"/>
      <c r="B868" s="43"/>
      <c r="C868" s="87"/>
      <c r="D868" s="43"/>
      <c r="E868" s="43"/>
      <c r="F868" s="43"/>
      <c r="G868" s="161"/>
    </row>
    <row r="869" ht="15.75" hidden="1" customHeight="1">
      <c r="A869" s="43"/>
      <c r="B869" s="43"/>
      <c r="C869" s="87"/>
      <c r="D869" s="43"/>
      <c r="E869" s="43"/>
      <c r="F869" s="43"/>
      <c r="G869" s="161"/>
    </row>
    <row r="870" ht="15.75" hidden="1" customHeight="1">
      <c r="A870" s="43"/>
      <c r="B870" s="43"/>
      <c r="C870" s="87"/>
      <c r="D870" s="43"/>
      <c r="E870" s="43"/>
      <c r="F870" s="43"/>
      <c r="G870" s="161"/>
    </row>
    <row r="871" ht="15.75" hidden="1" customHeight="1">
      <c r="A871" s="43"/>
      <c r="B871" s="43"/>
      <c r="C871" s="87"/>
      <c r="D871" s="43"/>
      <c r="E871" s="43"/>
      <c r="F871" s="43"/>
      <c r="G871" s="161"/>
    </row>
    <row r="872" ht="15.75" hidden="1" customHeight="1">
      <c r="A872" s="43"/>
      <c r="B872" s="43"/>
      <c r="C872" s="87"/>
      <c r="D872" s="43"/>
      <c r="E872" s="43"/>
      <c r="F872" s="43"/>
      <c r="G872" s="161"/>
    </row>
    <row r="873" ht="15.75" hidden="1" customHeight="1">
      <c r="A873" s="43"/>
      <c r="B873" s="43"/>
      <c r="C873" s="87"/>
      <c r="D873" s="43"/>
      <c r="E873" s="43"/>
      <c r="F873" s="43"/>
      <c r="G873" s="161"/>
    </row>
    <row r="874" ht="15.75" hidden="1" customHeight="1">
      <c r="A874" s="43"/>
      <c r="B874" s="43"/>
      <c r="C874" s="87"/>
      <c r="D874" s="43"/>
      <c r="E874" s="43"/>
      <c r="F874" s="43"/>
      <c r="G874" s="161"/>
    </row>
    <row r="875" ht="15.75" hidden="1" customHeight="1">
      <c r="A875" s="43"/>
      <c r="B875" s="43"/>
      <c r="C875" s="87"/>
      <c r="D875" s="43"/>
      <c r="E875" s="43"/>
      <c r="F875" s="43"/>
      <c r="G875" s="161"/>
    </row>
    <row r="876" ht="15.75" hidden="1" customHeight="1">
      <c r="A876" s="43"/>
      <c r="B876" s="43"/>
      <c r="C876" s="87"/>
      <c r="D876" s="43"/>
      <c r="E876" s="43"/>
      <c r="F876" s="43"/>
      <c r="G876" s="161"/>
    </row>
    <row r="877" ht="15.75" hidden="1" customHeight="1">
      <c r="A877" s="43"/>
      <c r="B877" s="43"/>
      <c r="C877" s="87"/>
      <c r="D877" s="43"/>
      <c r="E877" s="43"/>
      <c r="F877" s="43"/>
      <c r="G877" s="161"/>
    </row>
    <row r="878" ht="15.75" hidden="1" customHeight="1">
      <c r="A878" s="43"/>
      <c r="B878" s="43"/>
      <c r="C878" s="87"/>
      <c r="D878" s="43"/>
      <c r="E878" s="43"/>
      <c r="F878" s="43"/>
      <c r="G878" s="161"/>
    </row>
    <row r="879" ht="15.75" hidden="1" customHeight="1">
      <c r="A879" s="43"/>
      <c r="B879" s="43"/>
      <c r="C879" s="87"/>
      <c r="D879" s="43"/>
      <c r="E879" s="43"/>
      <c r="F879" s="43"/>
      <c r="G879" s="161"/>
    </row>
    <row r="880" ht="15.75" hidden="1" customHeight="1">
      <c r="A880" s="43"/>
      <c r="B880" s="43"/>
      <c r="C880" s="87"/>
      <c r="D880" s="43"/>
      <c r="E880" s="43"/>
      <c r="F880" s="43"/>
      <c r="G880" s="161"/>
    </row>
    <row r="881" ht="15.75" hidden="1" customHeight="1">
      <c r="A881" s="43"/>
      <c r="B881" s="43"/>
      <c r="C881" s="87"/>
      <c r="D881" s="43"/>
      <c r="E881" s="43"/>
      <c r="F881" s="43"/>
      <c r="G881" s="161"/>
    </row>
    <row r="882" ht="15.75" hidden="1" customHeight="1">
      <c r="A882" s="43"/>
      <c r="B882" s="43"/>
      <c r="C882" s="87"/>
      <c r="D882" s="43"/>
      <c r="E882" s="43"/>
      <c r="F882" s="43"/>
      <c r="G882" s="161"/>
    </row>
    <row r="883" ht="15.75" hidden="1" customHeight="1">
      <c r="A883" s="43"/>
      <c r="B883" s="43"/>
      <c r="C883" s="87"/>
      <c r="D883" s="43"/>
      <c r="E883" s="43"/>
      <c r="F883" s="43"/>
      <c r="G883" s="161"/>
    </row>
    <row r="884" ht="15.75" hidden="1" customHeight="1">
      <c r="A884" s="43"/>
      <c r="B884" s="43"/>
      <c r="C884" s="87"/>
      <c r="D884" s="43"/>
      <c r="E884" s="43"/>
      <c r="F884" s="43"/>
      <c r="G884" s="161"/>
    </row>
    <row r="885" ht="15.75" hidden="1" customHeight="1">
      <c r="A885" s="43"/>
      <c r="B885" s="43"/>
      <c r="C885" s="87"/>
      <c r="D885" s="43"/>
      <c r="E885" s="43"/>
      <c r="F885" s="43"/>
      <c r="G885" s="161"/>
    </row>
    <row r="886" ht="15.75" hidden="1" customHeight="1">
      <c r="A886" s="43"/>
      <c r="B886" s="43"/>
      <c r="C886" s="87"/>
      <c r="D886" s="43"/>
      <c r="E886" s="43"/>
      <c r="F886" s="43"/>
      <c r="G886" s="161"/>
    </row>
    <row r="887" ht="15.75" hidden="1" customHeight="1">
      <c r="A887" s="43"/>
      <c r="B887" s="43"/>
      <c r="C887" s="87"/>
      <c r="D887" s="43"/>
      <c r="E887" s="43"/>
      <c r="F887" s="43"/>
      <c r="G887" s="161"/>
    </row>
    <row r="888" ht="15.75" hidden="1" customHeight="1">
      <c r="A888" s="43"/>
      <c r="B888" s="43"/>
      <c r="C888" s="87"/>
      <c r="D888" s="43"/>
      <c r="E888" s="43"/>
      <c r="F888" s="43"/>
      <c r="G888" s="161"/>
    </row>
    <row r="889" ht="15.75" hidden="1" customHeight="1">
      <c r="A889" s="43"/>
      <c r="B889" s="43"/>
      <c r="C889" s="87"/>
      <c r="D889" s="43"/>
      <c r="E889" s="43"/>
      <c r="F889" s="43"/>
      <c r="G889" s="161"/>
    </row>
    <row r="890" ht="15.75" hidden="1" customHeight="1">
      <c r="A890" s="43"/>
      <c r="B890" s="43"/>
      <c r="C890" s="87"/>
      <c r="D890" s="43"/>
      <c r="E890" s="43"/>
      <c r="F890" s="43"/>
      <c r="G890" s="161"/>
    </row>
    <row r="891" ht="15.75" hidden="1" customHeight="1">
      <c r="A891" s="43"/>
      <c r="B891" s="43"/>
      <c r="C891" s="87"/>
      <c r="D891" s="43"/>
      <c r="E891" s="43"/>
      <c r="F891" s="43"/>
      <c r="G891" s="161"/>
    </row>
    <row r="892" ht="15.75" hidden="1" customHeight="1">
      <c r="A892" s="43"/>
      <c r="B892" s="43"/>
      <c r="C892" s="87"/>
      <c r="D892" s="43"/>
      <c r="E892" s="43"/>
      <c r="F892" s="43"/>
      <c r="G892" s="161"/>
    </row>
    <row r="893" ht="15.75" hidden="1" customHeight="1">
      <c r="A893" s="43"/>
      <c r="B893" s="43"/>
      <c r="C893" s="87"/>
      <c r="D893" s="43"/>
      <c r="E893" s="43"/>
      <c r="F893" s="43"/>
      <c r="G893" s="161"/>
    </row>
    <row r="894" ht="15.75" hidden="1" customHeight="1">
      <c r="A894" s="43"/>
      <c r="B894" s="43"/>
      <c r="C894" s="87"/>
      <c r="D894" s="43"/>
      <c r="E894" s="43"/>
      <c r="F894" s="43"/>
      <c r="G894" s="161"/>
    </row>
    <row r="895" ht="15.75" hidden="1" customHeight="1">
      <c r="A895" s="43"/>
      <c r="B895" s="43"/>
      <c r="C895" s="87"/>
      <c r="D895" s="43"/>
      <c r="E895" s="43"/>
      <c r="F895" s="43"/>
      <c r="G895" s="161"/>
    </row>
    <row r="896" ht="15.75" hidden="1" customHeight="1">
      <c r="A896" s="43"/>
      <c r="B896" s="43"/>
      <c r="C896" s="87"/>
      <c r="D896" s="43"/>
      <c r="E896" s="43"/>
      <c r="F896" s="43"/>
      <c r="G896" s="161"/>
    </row>
    <row r="897" ht="15.75" hidden="1" customHeight="1">
      <c r="A897" s="43"/>
      <c r="B897" s="43"/>
      <c r="C897" s="87"/>
      <c r="D897" s="43"/>
      <c r="E897" s="43"/>
      <c r="F897" s="43"/>
      <c r="G897" s="161"/>
    </row>
    <row r="898" ht="15.75" hidden="1" customHeight="1">
      <c r="A898" s="43"/>
      <c r="B898" s="43"/>
      <c r="C898" s="87"/>
      <c r="D898" s="43"/>
      <c r="E898" s="43"/>
      <c r="F898" s="43"/>
      <c r="G898" s="161"/>
    </row>
    <row r="899" ht="15.75" hidden="1" customHeight="1">
      <c r="A899" s="43"/>
      <c r="B899" s="43"/>
      <c r="C899" s="87"/>
      <c r="D899" s="43"/>
      <c r="E899" s="43"/>
      <c r="F899" s="43"/>
      <c r="G899" s="161"/>
    </row>
    <row r="900" ht="15.75" hidden="1" customHeight="1">
      <c r="A900" s="43"/>
      <c r="B900" s="43"/>
      <c r="C900" s="87"/>
      <c r="D900" s="43"/>
      <c r="E900" s="43"/>
      <c r="F900" s="43"/>
      <c r="G900" s="161"/>
    </row>
    <row r="901" ht="15.75" hidden="1" customHeight="1">
      <c r="A901" s="43"/>
      <c r="B901" s="43"/>
      <c r="C901" s="87"/>
      <c r="D901" s="43"/>
      <c r="E901" s="43"/>
      <c r="F901" s="43"/>
      <c r="G901" s="161"/>
    </row>
    <row r="902" ht="15.75" hidden="1" customHeight="1">
      <c r="A902" s="43"/>
      <c r="B902" s="43"/>
      <c r="C902" s="87"/>
      <c r="D902" s="43"/>
      <c r="E902" s="43"/>
      <c r="F902" s="43"/>
      <c r="G902" s="161"/>
    </row>
    <row r="903" ht="15.75" hidden="1" customHeight="1">
      <c r="A903" s="43"/>
      <c r="B903" s="43"/>
      <c r="C903" s="87"/>
      <c r="D903" s="43"/>
      <c r="E903" s="43"/>
      <c r="F903" s="43"/>
      <c r="G903" s="161"/>
    </row>
    <row r="904" ht="15.75" hidden="1" customHeight="1">
      <c r="A904" s="43"/>
      <c r="B904" s="43"/>
      <c r="C904" s="87"/>
      <c r="D904" s="43"/>
      <c r="E904" s="43"/>
      <c r="F904" s="43"/>
      <c r="G904" s="161"/>
    </row>
    <row r="905" ht="15.75" hidden="1" customHeight="1">
      <c r="A905" s="43"/>
      <c r="B905" s="43"/>
      <c r="C905" s="87"/>
      <c r="D905" s="43"/>
      <c r="E905" s="43"/>
      <c r="F905" s="43"/>
      <c r="G905" s="161"/>
    </row>
    <row r="906" ht="15.75" hidden="1" customHeight="1">
      <c r="A906" s="43"/>
      <c r="B906" s="43"/>
      <c r="C906" s="87"/>
      <c r="D906" s="43"/>
      <c r="E906" s="43"/>
      <c r="F906" s="43"/>
      <c r="G906" s="161"/>
    </row>
    <row r="907" ht="15.75" hidden="1" customHeight="1">
      <c r="A907" s="43"/>
      <c r="B907" s="43"/>
      <c r="C907" s="87"/>
      <c r="D907" s="43"/>
      <c r="E907" s="43"/>
      <c r="F907" s="43"/>
      <c r="G907" s="161"/>
    </row>
    <row r="908" ht="15.75" hidden="1" customHeight="1">
      <c r="A908" s="43"/>
      <c r="B908" s="43"/>
      <c r="C908" s="87"/>
      <c r="D908" s="43"/>
      <c r="E908" s="43"/>
      <c r="F908" s="43"/>
      <c r="G908" s="161"/>
    </row>
    <row r="909" ht="15.75" hidden="1" customHeight="1">
      <c r="A909" s="43"/>
      <c r="B909" s="43"/>
      <c r="C909" s="87"/>
      <c r="D909" s="43"/>
      <c r="E909" s="43"/>
      <c r="F909" s="43"/>
      <c r="G909" s="161"/>
    </row>
    <row r="910" ht="15.75" hidden="1" customHeight="1">
      <c r="A910" s="43"/>
      <c r="B910" s="43"/>
      <c r="C910" s="87"/>
      <c r="D910" s="43"/>
      <c r="E910" s="43"/>
      <c r="F910" s="43"/>
      <c r="G910" s="161"/>
    </row>
    <row r="911" ht="15.75" hidden="1" customHeight="1">
      <c r="A911" s="43"/>
      <c r="B911" s="43"/>
      <c r="C911" s="87"/>
      <c r="D911" s="43"/>
      <c r="E911" s="43"/>
      <c r="F911" s="43"/>
      <c r="G911" s="161"/>
    </row>
    <row r="912" ht="15.75" hidden="1" customHeight="1">
      <c r="A912" s="43"/>
      <c r="B912" s="43"/>
      <c r="C912" s="87"/>
      <c r="D912" s="43"/>
      <c r="E912" s="43"/>
      <c r="F912" s="43"/>
      <c r="G912" s="161"/>
    </row>
    <row r="913" ht="15.75" hidden="1" customHeight="1">
      <c r="A913" s="43"/>
      <c r="B913" s="43"/>
      <c r="C913" s="87"/>
      <c r="D913" s="43"/>
      <c r="E913" s="43"/>
      <c r="F913" s="43"/>
      <c r="G913" s="161"/>
    </row>
    <row r="914" ht="15.75" hidden="1" customHeight="1">
      <c r="A914" s="43"/>
      <c r="B914" s="43"/>
      <c r="C914" s="87"/>
      <c r="D914" s="43"/>
      <c r="E914" s="43"/>
      <c r="F914" s="43"/>
      <c r="G914" s="161"/>
    </row>
    <row r="915" ht="15.75" hidden="1" customHeight="1">
      <c r="A915" s="43"/>
      <c r="B915" s="43"/>
      <c r="C915" s="87"/>
      <c r="D915" s="43"/>
      <c r="E915" s="43"/>
      <c r="F915" s="43"/>
      <c r="G915" s="161"/>
    </row>
    <row r="916" ht="15.75" hidden="1" customHeight="1">
      <c r="A916" s="43"/>
      <c r="B916" s="43"/>
      <c r="C916" s="87"/>
      <c r="D916" s="43"/>
      <c r="E916" s="43"/>
      <c r="F916" s="43"/>
      <c r="G916" s="161"/>
    </row>
    <row r="917" ht="15.75" hidden="1" customHeight="1">
      <c r="A917" s="43"/>
      <c r="B917" s="43"/>
      <c r="C917" s="87"/>
      <c r="D917" s="43"/>
      <c r="E917" s="43"/>
      <c r="F917" s="43"/>
      <c r="G917" s="161"/>
    </row>
    <row r="918" ht="15.75" hidden="1" customHeight="1">
      <c r="A918" s="43"/>
      <c r="B918" s="43"/>
      <c r="C918" s="87"/>
      <c r="D918" s="43"/>
      <c r="E918" s="43"/>
      <c r="F918" s="43"/>
      <c r="G918" s="161"/>
    </row>
    <row r="919" ht="15.75" hidden="1" customHeight="1">
      <c r="A919" s="43"/>
      <c r="B919" s="43"/>
      <c r="C919" s="87"/>
      <c r="D919" s="43"/>
      <c r="E919" s="43"/>
      <c r="F919" s="43"/>
      <c r="G919" s="161"/>
    </row>
    <row r="920" ht="15.75" hidden="1" customHeight="1">
      <c r="A920" s="43"/>
      <c r="B920" s="43"/>
      <c r="C920" s="87"/>
      <c r="D920" s="43"/>
      <c r="E920" s="43"/>
      <c r="F920" s="43"/>
      <c r="G920" s="161"/>
    </row>
    <row r="921" ht="15.75" hidden="1" customHeight="1">
      <c r="A921" s="43"/>
      <c r="B921" s="43"/>
      <c r="C921" s="87"/>
      <c r="D921" s="43"/>
      <c r="E921" s="43"/>
      <c r="F921" s="43"/>
      <c r="G921" s="161"/>
    </row>
    <row r="922" ht="15.75" hidden="1" customHeight="1">
      <c r="A922" s="43"/>
      <c r="B922" s="43"/>
      <c r="C922" s="87"/>
      <c r="D922" s="43"/>
      <c r="E922" s="43"/>
      <c r="F922" s="43"/>
      <c r="G922" s="161"/>
    </row>
    <row r="923" ht="15.75" hidden="1" customHeight="1">
      <c r="A923" s="43"/>
      <c r="B923" s="43"/>
      <c r="C923" s="87"/>
      <c r="D923" s="43"/>
      <c r="E923" s="43"/>
      <c r="F923" s="43"/>
      <c r="G923" s="161"/>
    </row>
    <row r="924" ht="15.75" hidden="1" customHeight="1">
      <c r="A924" s="43"/>
      <c r="B924" s="43"/>
      <c r="C924" s="87"/>
      <c r="D924" s="43"/>
      <c r="E924" s="43"/>
      <c r="F924" s="43"/>
      <c r="G924" s="161"/>
    </row>
    <row r="925" ht="15.75" hidden="1" customHeight="1">
      <c r="A925" s="43"/>
      <c r="B925" s="43"/>
      <c r="C925" s="87"/>
      <c r="D925" s="43"/>
      <c r="E925" s="43"/>
      <c r="F925" s="43"/>
      <c r="G925" s="161"/>
    </row>
    <row r="926" ht="15.75" hidden="1" customHeight="1">
      <c r="A926" s="43"/>
      <c r="B926" s="43"/>
      <c r="C926" s="87"/>
      <c r="D926" s="43"/>
      <c r="E926" s="43"/>
      <c r="F926" s="43"/>
      <c r="G926" s="161"/>
    </row>
    <row r="927" ht="15.75" hidden="1" customHeight="1">
      <c r="A927" s="43"/>
      <c r="B927" s="43"/>
      <c r="C927" s="87"/>
      <c r="D927" s="43"/>
      <c r="E927" s="43"/>
      <c r="F927" s="43"/>
      <c r="G927" s="161"/>
    </row>
    <row r="928" ht="15.75" hidden="1" customHeight="1">
      <c r="A928" s="43"/>
      <c r="B928" s="43"/>
      <c r="C928" s="87"/>
      <c r="D928" s="43"/>
      <c r="E928" s="43"/>
      <c r="F928" s="43"/>
      <c r="G928" s="161"/>
    </row>
    <row r="929" ht="15.75" hidden="1" customHeight="1">
      <c r="A929" s="43"/>
      <c r="B929" s="43"/>
      <c r="C929" s="87"/>
      <c r="D929" s="43"/>
      <c r="E929" s="43"/>
      <c r="F929" s="43"/>
      <c r="G929" s="161"/>
    </row>
    <row r="930" ht="15.75" hidden="1" customHeight="1">
      <c r="A930" s="43"/>
      <c r="B930" s="43"/>
      <c r="C930" s="87"/>
      <c r="D930" s="43"/>
      <c r="E930" s="43"/>
      <c r="F930" s="43"/>
      <c r="G930" s="161"/>
    </row>
    <row r="931" ht="15.75" hidden="1" customHeight="1">
      <c r="A931" s="43"/>
      <c r="B931" s="43"/>
      <c r="C931" s="87"/>
      <c r="D931" s="43"/>
      <c r="E931" s="43"/>
      <c r="F931" s="43"/>
      <c r="G931" s="161"/>
    </row>
    <row r="932" ht="15.75" hidden="1" customHeight="1">
      <c r="A932" s="43"/>
      <c r="B932" s="43"/>
      <c r="C932" s="87"/>
      <c r="D932" s="43"/>
      <c r="E932" s="43"/>
      <c r="F932" s="43"/>
      <c r="G932" s="161"/>
    </row>
    <row r="933" ht="15.75" hidden="1" customHeight="1">
      <c r="A933" s="43"/>
      <c r="B933" s="43"/>
      <c r="C933" s="87"/>
      <c r="D933" s="43"/>
      <c r="E933" s="43"/>
      <c r="F933" s="43"/>
      <c r="G933" s="161"/>
    </row>
    <row r="934" ht="15.75" hidden="1" customHeight="1">
      <c r="A934" s="43"/>
      <c r="B934" s="43"/>
      <c r="C934" s="87"/>
      <c r="D934" s="43"/>
      <c r="E934" s="43"/>
      <c r="F934" s="43"/>
      <c r="G934" s="161"/>
    </row>
    <row r="935" ht="15.75" hidden="1" customHeight="1">
      <c r="A935" s="43"/>
      <c r="B935" s="43"/>
      <c r="C935" s="87"/>
      <c r="D935" s="43"/>
      <c r="E935" s="43"/>
      <c r="F935" s="43"/>
      <c r="G935" s="161"/>
    </row>
    <row r="936" ht="15.75" hidden="1" customHeight="1">
      <c r="A936" s="43"/>
      <c r="B936" s="43"/>
      <c r="C936" s="87"/>
      <c r="D936" s="43"/>
      <c r="E936" s="43"/>
      <c r="F936" s="43"/>
      <c r="G936" s="161"/>
    </row>
    <row r="937" ht="15.75" hidden="1" customHeight="1">
      <c r="A937" s="43"/>
      <c r="B937" s="43"/>
      <c r="C937" s="87"/>
      <c r="D937" s="43"/>
      <c r="E937" s="43"/>
      <c r="F937" s="43"/>
      <c r="G937" s="161"/>
    </row>
    <row r="938" ht="15.75" hidden="1" customHeight="1">
      <c r="A938" s="43"/>
      <c r="B938" s="43"/>
      <c r="C938" s="87"/>
      <c r="D938" s="43"/>
      <c r="E938" s="43"/>
      <c r="F938" s="43"/>
      <c r="G938" s="161"/>
    </row>
    <row r="939" ht="15.75" hidden="1" customHeight="1">
      <c r="A939" s="43"/>
      <c r="B939" s="43"/>
      <c r="C939" s="87"/>
      <c r="D939" s="43"/>
      <c r="E939" s="43"/>
      <c r="F939" s="43"/>
      <c r="G939" s="161"/>
    </row>
    <row r="940" ht="15.75" hidden="1" customHeight="1">
      <c r="A940" s="43"/>
      <c r="B940" s="43"/>
      <c r="C940" s="87"/>
      <c r="D940" s="43"/>
      <c r="E940" s="43"/>
      <c r="F940" s="43"/>
      <c r="G940" s="161"/>
    </row>
    <row r="941" ht="15.75" hidden="1" customHeight="1">
      <c r="A941" s="43"/>
      <c r="B941" s="43"/>
      <c r="C941" s="87"/>
      <c r="D941" s="43"/>
      <c r="E941" s="43"/>
      <c r="F941" s="43"/>
      <c r="G941" s="161"/>
    </row>
    <row r="942" ht="15.75" hidden="1" customHeight="1">
      <c r="A942" s="43"/>
      <c r="B942" s="43"/>
      <c r="C942" s="87"/>
      <c r="D942" s="43"/>
      <c r="E942" s="43"/>
      <c r="F942" s="43"/>
      <c r="G942" s="161"/>
    </row>
    <row r="943" ht="15.75" hidden="1" customHeight="1">
      <c r="A943" s="43"/>
      <c r="B943" s="43"/>
      <c r="C943" s="87"/>
      <c r="D943" s="43"/>
      <c r="E943" s="43"/>
      <c r="F943" s="43"/>
      <c r="G943" s="161"/>
    </row>
    <row r="944" ht="15.75" hidden="1" customHeight="1">
      <c r="A944" s="43"/>
      <c r="B944" s="43"/>
      <c r="C944" s="87"/>
      <c r="D944" s="43"/>
      <c r="E944" s="43"/>
      <c r="F944" s="43"/>
      <c r="G944" s="161"/>
    </row>
    <row r="945" ht="15.75" hidden="1" customHeight="1">
      <c r="A945" s="43"/>
      <c r="B945" s="43"/>
      <c r="C945" s="87"/>
      <c r="D945" s="43"/>
      <c r="E945" s="43"/>
      <c r="F945" s="43"/>
      <c r="G945" s="161"/>
    </row>
    <row r="946" ht="15.75" hidden="1" customHeight="1">
      <c r="A946" s="43"/>
      <c r="B946" s="43"/>
      <c r="C946" s="87"/>
      <c r="D946" s="43"/>
      <c r="E946" s="43"/>
      <c r="F946" s="43"/>
      <c r="G946" s="161"/>
    </row>
    <row r="947" ht="15.75" hidden="1" customHeight="1">
      <c r="A947" s="43"/>
      <c r="B947" s="43"/>
      <c r="C947" s="87"/>
      <c r="D947" s="43"/>
      <c r="E947" s="43"/>
      <c r="F947" s="43"/>
      <c r="G947" s="161"/>
    </row>
    <row r="948" ht="15.75" hidden="1" customHeight="1">
      <c r="A948" s="43"/>
      <c r="B948" s="43"/>
      <c r="C948" s="87"/>
      <c r="D948" s="43"/>
      <c r="E948" s="43"/>
      <c r="F948" s="43"/>
      <c r="G948" s="161"/>
    </row>
    <row r="949" ht="15.75" hidden="1" customHeight="1">
      <c r="A949" s="43"/>
      <c r="B949" s="43"/>
      <c r="C949" s="87"/>
      <c r="D949" s="43"/>
      <c r="E949" s="43"/>
      <c r="F949" s="43"/>
      <c r="G949" s="161"/>
    </row>
    <row r="950" ht="15.75" hidden="1" customHeight="1">
      <c r="A950" s="43"/>
      <c r="B950" s="43"/>
      <c r="C950" s="87"/>
      <c r="D950" s="43"/>
      <c r="E950" s="43"/>
      <c r="F950" s="43"/>
      <c r="G950" s="161"/>
    </row>
    <row r="951" ht="15.75" hidden="1" customHeight="1">
      <c r="A951" s="43"/>
      <c r="B951" s="43"/>
      <c r="C951" s="87"/>
      <c r="D951" s="43"/>
      <c r="E951" s="43"/>
      <c r="F951" s="43"/>
      <c r="G951" s="161"/>
    </row>
    <row r="952" ht="15.75" hidden="1" customHeight="1">
      <c r="A952" s="43"/>
      <c r="B952" s="43"/>
      <c r="C952" s="87"/>
      <c r="D952" s="43"/>
      <c r="E952" s="43"/>
      <c r="F952" s="43"/>
      <c r="G952" s="161"/>
    </row>
    <row r="953" ht="15.75" hidden="1" customHeight="1">
      <c r="A953" s="43"/>
      <c r="B953" s="43"/>
      <c r="C953" s="87"/>
      <c r="D953" s="43"/>
      <c r="E953" s="43"/>
      <c r="F953" s="43"/>
      <c r="G953" s="161"/>
    </row>
    <row r="954" ht="15.75" hidden="1" customHeight="1">
      <c r="A954" s="43"/>
      <c r="B954" s="43"/>
      <c r="C954" s="87"/>
      <c r="D954" s="43"/>
      <c r="E954" s="43"/>
      <c r="F954" s="43"/>
      <c r="G954" s="161"/>
    </row>
    <row r="955" ht="15.75" hidden="1" customHeight="1">
      <c r="A955" s="43"/>
      <c r="B955" s="43"/>
      <c r="C955" s="87"/>
      <c r="D955" s="43"/>
      <c r="E955" s="43"/>
      <c r="F955" s="43"/>
      <c r="G955" s="161"/>
    </row>
    <row r="956" ht="15.75" hidden="1" customHeight="1">
      <c r="A956" s="43"/>
      <c r="B956" s="43"/>
      <c r="C956" s="87"/>
      <c r="D956" s="43"/>
      <c r="E956" s="43"/>
      <c r="F956" s="43"/>
      <c r="G956" s="161"/>
    </row>
    <row r="957" ht="15.75" hidden="1" customHeight="1">
      <c r="A957" s="43"/>
      <c r="B957" s="43"/>
      <c r="C957" s="87"/>
      <c r="D957" s="43"/>
      <c r="E957" s="43"/>
      <c r="F957" s="43"/>
      <c r="G957" s="161"/>
    </row>
    <row r="958" ht="15.75" hidden="1" customHeight="1">
      <c r="A958" s="43"/>
      <c r="B958" s="43"/>
      <c r="C958" s="87"/>
      <c r="D958" s="43"/>
      <c r="E958" s="43"/>
      <c r="F958" s="43"/>
      <c r="G958" s="161"/>
    </row>
    <row r="959" ht="15.75" hidden="1" customHeight="1">
      <c r="A959" s="43"/>
      <c r="B959" s="43"/>
      <c r="C959" s="87"/>
      <c r="D959" s="43"/>
      <c r="E959" s="43"/>
      <c r="F959" s="43"/>
      <c r="G959" s="161"/>
    </row>
    <row r="960" ht="15.75" hidden="1" customHeight="1">
      <c r="A960" s="43"/>
      <c r="B960" s="43"/>
      <c r="C960" s="87"/>
      <c r="D960" s="43"/>
      <c r="E960" s="43"/>
      <c r="F960" s="43"/>
      <c r="G960" s="161"/>
    </row>
    <row r="961" ht="15.75" hidden="1" customHeight="1">
      <c r="A961" s="43"/>
      <c r="B961" s="43"/>
      <c r="C961" s="87"/>
      <c r="D961" s="43"/>
      <c r="E961" s="43"/>
      <c r="F961" s="43"/>
      <c r="G961" s="161"/>
    </row>
    <row r="962" ht="15.75" hidden="1" customHeight="1">
      <c r="A962" s="43"/>
      <c r="B962" s="43"/>
      <c r="C962" s="87"/>
      <c r="D962" s="43"/>
      <c r="E962" s="43"/>
      <c r="F962" s="43"/>
      <c r="G962" s="161"/>
    </row>
    <row r="963" ht="15.75" hidden="1" customHeight="1">
      <c r="A963" s="43"/>
      <c r="B963" s="43"/>
      <c r="C963" s="87"/>
      <c r="D963" s="43"/>
      <c r="E963" s="43"/>
      <c r="F963" s="43"/>
      <c r="G963" s="161"/>
    </row>
    <row r="964" ht="15.75" hidden="1" customHeight="1">
      <c r="A964" s="43"/>
      <c r="B964" s="43"/>
      <c r="C964" s="87"/>
      <c r="D964" s="43"/>
      <c r="E964" s="43"/>
      <c r="F964" s="43"/>
      <c r="G964" s="161"/>
    </row>
    <row r="965" ht="15.75" hidden="1" customHeight="1">
      <c r="A965" s="43"/>
      <c r="B965" s="43"/>
      <c r="C965" s="87"/>
      <c r="D965" s="43"/>
      <c r="E965" s="43"/>
      <c r="F965" s="43"/>
      <c r="G965" s="161"/>
    </row>
    <row r="966" ht="15.75" hidden="1" customHeight="1">
      <c r="A966" s="43"/>
      <c r="B966" s="43"/>
      <c r="C966" s="87"/>
      <c r="D966" s="43"/>
      <c r="E966" s="43"/>
      <c r="F966" s="43"/>
      <c r="G966" s="161"/>
    </row>
    <row r="967" ht="15.75" hidden="1" customHeight="1">
      <c r="A967" s="43"/>
      <c r="B967" s="43"/>
      <c r="C967" s="87"/>
      <c r="D967" s="43"/>
      <c r="E967" s="43"/>
      <c r="F967" s="43"/>
      <c r="G967" s="161"/>
    </row>
    <row r="968" ht="15.75" hidden="1" customHeight="1">
      <c r="A968" s="43"/>
      <c r="B968" s="43"/>
      <c r="C968" s="87"/>
      <c r="D968" s="43"/>
      <c r="E968" s="43"/>
      <c r="F968" s="43"/>
      <c r="G968" s="161"/>
    </row>
    <row r="969" ht="15.75" hidden="1" customHeight="1">
      <c r="A969" s="43"/>
      <c r="B969" s="43"/>
      <c r="C969" s="87"/>
      <c r="D969" s="43"/>
      <c r="E969" s="43"/>
      <c r="F969" s="43"/>
      <c r="G969" s="161"/>
    </row>
    <row r="970" ht="15.75" hidden="1" customHeight="1">
      <c r="A970" s="43"/>
      <c r="B970" s="43"/>
      <c r="C970" s="87"/>
      <c r="D970" s="43"/>
      <c r="E970" s="43"/>
      <c r="F970" s="43"/>
      <c r="G970" s="161"/>
    </row>
    <row r="971" ht="15.75" hidden="1" customHeight="1">
      <c r="A971" s="43"/>
      <c r="B971" s="43"/>
      <c r="C971" s="87"/>
      <c r="D971" s="43"/>
      <c r="E971" s="43"/>
      <c r="F971" s="43"/>
      <c r="G971" s="161"/>
    </row>
    <row r="972" ht="15.75" hidden="1" customHeight="1">
      <c r="A972" s="43"/>
      <c r="B972" s="43"/>
      <c r="C972" s="87"/>
      <c r="D972" s="43"/>
      <c r="E972" s="43"/>
      <c r="F972" s="43"/>
      <c r="G972" s="161"/>
    </row>
    <row r="973" ht="15.75" hidden="1" customHeight="1">
      <c r="A973" s="43"/>
      <c r="B973" s="43"/>
      <c r="C973" s="87"/>
      <c r="D973" s="43"/>
      <c r="E973" s="43"/>
      <c r="F973" s="43"/>
      <c r="G973" s="161"/>
    </row>
    <row r="974" ht="15.75" hidden="1" customHeight="1">
      <c r="A974" s="43"/>
      <c r="B974" s="43"/>
      <c r="C974" s="87"/>
      <c r="D974" s="43"/>
      <c r="E974" s="43"/>
      <c r="F974" s="43"/>
      <c r="G974" s="161"/>
    </row>
    <row r="975" ht="15.75" hidden="1" customHeight="1">
      <c r="A975" s="43"/>
      <c r="B975" s="43"/>
      <c r="C975" s="87"/>
      <c r="D975" s="43"/>
      <c r="E975" s="43"/>
      <c r="F975" s="43"/>
      <c r="G975" s="161"/>
    </row>
    <row r="976" ht="15.75" hidden="1" customHeight="1">
      <c r="A976" s="43"/>
      <c r="B976" s="43"/>
      <c r="C976" s="87"/>
      <c r="D976" s="43"/>
      <c r="E976" s="43"/>
      <c r="F976" s="43"/>
      <c r="G976" s="161"/>
    </row>
    <row r="977" ht="15.75" hidden="1" customHeight="1">
      <c r="A977" s="43"/>
      <c r="B977" s="43"/>
      <c r="C977" s="87"/>
      <c r="D977" s="43"/>
      <c r="E977" s="43"/>
      <c r="F977" s="43"/>
      <c r="G977" s="161"/>
    </row>
    <row r="978" ht="15.75" hidden="1" customHeight="1">
      <c r="A978" s="43"/>
      <c r="B978" s="43"/>
      <c r="C978" s="87"/>
      <c r="D978" s="43"/>
      <c r="E978" s="43"/>
      <c r="F978" s="43"/>
      <c r="G978" s="161"/>
    </row>
    <row r="979" ht="15.75" hidden="1" customHeight="1">
      <c r="A979" s="43"/>
      <c r="B979" s="43"/>
      <c r="C979" s="87"/>
      <c r="D979" s="43"/>
      <c r="E979" s="43"/>
      <c r="F979" s="43"/>
      <c r="G979" s="161"/>
    </row>
    <row r="980" ht="15.75" hidden="1" customHeight="1">
      <c r="A980" s="43"/>
      <c r="B980" s="43"/>
      <c r="C980" s="87"/>
      <c r="D980" s="43"/>
      <c r="E980" s="43"/>
      <c r="F980" s="43"/>
      <c r="G980" s="161"/>
    </row>
    <row r="981" ht="15.75" hidden="1" customHeight="1">
      <c r="A981" s="43"/>
      <c r="B981" s="43"/>
      <c r="C981" s="87"/>
      <c r="D981" s="43"/>
      <c r="E981" s="43"/>
      <c r="F981" s="43"/>
      <c r="G981" s="161"/>
    </row>
    <row r="982" ht="15.75" hidden="1" customHeight="1">
      <c r="A982" s="43"/>
      <c r="B982" s="43"/>
      <c r="C982" s="87"/>
      <c r="D982" s="43"/>
      <c r="E982" s="43"/>
      <c r="F982" s="43"/>
      <c r="G982" s="161"/>
    </row>
    <row r="983" ht="15.75" hidden="1" customHeight="1">
      <c r="A983" s="43"/>
      <c r="B983" s="43"/>
      <c r="C983" s="87"/>
      <c r="D983" s="43"/>
      <c r="E983" s="43"/>
      <c r="F983" s="43"/>
      <c r="G983" s="161"/>
    </row>
    <row r="984" ht="15.75" hidden="1" customHeight="1">
      <c r="A984" s="43"/>
      <c r="B984" s="43"/>
      <c r="C984" s="87"/>
      <c r="D984" s="43"/>
      <c r="E984" s="43"/>
      <c r="F984" s="43"/>
      <c r="G984" s="161"/>
    </row>
    <row r="985" ht="15.75" hidden="1" customHeight="1">
      <c r="A985" s="43"/>
      <c r="B985" s="43"/>
      <c r="C985" s="87"/>
      <c r="D985" s="43"/>
      <c r="E985" s="43"/>
      <c r="F985" s="43"/>
      <c r="G985" s="161"/>
    </row>
    <row r="986" ht="15.75" hidden="1" customHeight="1">
      <c r="A986" s="43"/>
      <c r="B986" s="43"/>
      <c r="C986" s="87"/>
      <c r="D986" s="43"/>
      <c r="E986" s="43"/>
      <c r="F986" s="43"/>
      <c r="G986" s="161"/>
    </row>
    <row r="987" ht="15.75" hidden="1" customHeight="1">
      <c r="A987" s="43"/>
      <c r="B987" s="43"/>
      <c r="C987" s="87"/>
      <c r="D987" s="43"/>
      <c r="E987" s="43"/>
      <c r="F987" s="43"/>
      <c r="G987" s="161"/>
    </row>
    <row r="988" ht="15.75" hidden="1" customHeight="1">
      <c r="A988" s="43"/>
      <c r="B988" s="43"/>
      <c r="C988" s="87"/>
      <c r="D988" s="43"/>
      <c r="E988" s="43"/>
      <c r="F988" s="43"/>
      <c r="G988" s="161"/>
    </row>
    <row r="989" ht="15.75" hidden="1" customHeight="1">
      <c r="A989" s="43"/>
      <c r="B989" s="43"/>
      <c r="C989" s="87"/>
      <c r="D989" s="43"/>
      <c r="E989" s="43"/>
      <c r="F989" s="43"/>
      <c r="G989" s="161"/>
    </row>
    <row r="990" ht="15.75" hidden="1" customHeight="1">
      <c r="A990" s="43"/>
      <c r="B990" s="43"/>
      <c r="C990" s="87"/>
      <c r="D990" s="43"/>
      <c r="E990" s="43"/>
      <c r="F990" s="43"/>
      <c r="G990" s="161"/>
    </row>
    <row r="991" ht="15.75" hidden="1" customHeight="1">
      <c r="A991" s="43"/>
      <c r="B991" s="43"/>
      <c r="C991" s="87"/>
      <c r="D991" s="43"/>
      <c r="E991" s="43"/>
      <c r="F991" s="43"/>
      <c r="G991" s="161"/>
    </row>
    <row r="992" ht="15.75" hidden="1" customHeight="1">
      <c r="A992" s="43"/>
      <c r="B992" s="43"/>
      <c r="C992" s="87"/>
      <c r="D992" s="43"/>
      <c r="E992" s="43"/>
      <c r="F992" s="43"/>
      <c r="G992" s="161"/>
    </row>
    <row r="993" ht="15.75" hidden="1" customHeight="1">
      <c r="A993" s="43"/>
      <c r="B993" s="43"/>
      <c r="C993" s="87"/>
      <c r="D993" s="43"/>
      <c r="E993" s="43"/>
      <c r="F993" s="43"/>
      <c r="G993" s="161"/>
    </row>
    <row r="994" ht="15.75" hidden="1" customHeight="1">
      <c r="A994" s="43"/>
      <c r="B994" s="43"/>
      <c r="C994" s="87"/>
      <c r="D994" s="43"/>
      <c r="E994" s="43"/>
      <c r="F994" s="43"/>
      <c r="G994" s="161"/>
    </row>
    <row r="995" ht="15.75" hidden="1" customHeight="1">
      <c r="A995" s="43"/>
      <c r="B995" s="43"/>
      <c r="C995" s="87"/>
      <c r="D995" s="43"/>
      <c r="E995" s="43"/>
      <c r="F995" s="43"/>
      <c r="G995" s="161"/>
    </row>
    <row r="996" ht="15.75" hidden="1" customHeight="1">
      <c r="A996" s="43"/>
      <c r="B996" s="43"/>
      <c r="C996" s="87"/>
      <c r="D996" s="43"/>
      <c r="E996" s="43"/>
      <c r="F996" s="43"/>
      <c r="G996" s="161"/>
    </row>
    <row r="997" ht="15.75" hidden="1" customHeight="1">
      <c r="A997" s="43"/>
      <c r="B997" s="43"/>
      <c r="C997" s="87"/>
      <c r="D997" s="43"/>
      <c r="E997" s="43"/>
      <c r="F997" s="43"/>
      <c r="G997" s="161"/>
    </row>
    <row r="998" ht="15.75" hidden="1" customHeight="1">
      <c r="A998" s="43"/>
      <c r="B998" s="43"/>
      <c r="C998" s="87"/>
      <c r="D998" s="43"/>
      <c r="E998" s="43"/>
      <c r="F998" s="43"/>
      <c r="G998" s="161"/>
    </row>
    <row r="999" ht="15.75" hidden="1" customHeight="1">
      <c r="A999" s="43"/>
      <c r="B999" s="43"/>
      <c r="C999" s="87"/>
      <c r="D999" s="43"/>
      <c r="E999" s="43"/>
      <c r="F999" s="43"/>
      <c r="G999" s="161"/>
    </row>
    <row r="1000" ht="15.75" hidden="1" customHeight="1">
      <c r="A1000" s="43"/>
      <c r="B1000" s="43"/>
      <c r="C1000" s="87"/>
      <c r="D1000" s="43"/>
      <c r="E1000" s="43"/>
      <c r="F1000" s="43"/>
      <c r="G1000" s="161"/>
    </row>
    <row r="1001" ht="15.75" hidden="1" customHeight="1">
      <c r="A1001" s="43"/>
      <c r="B1001" s="43"/>
      <c r="C1001" s="87"/>
      <c r="D1001" s="43"/>
      <c r="E1001" s="43"/>
      <c r="F1001" s="43"/>
      <c r="G1001" s="161"/>
    </row>
    <row r="1002" ht="15.75" hidden="1" customHeight="1">
      <c r="A1002" s="43"/>
      <c r="B1002" s="43"/>
      <c r="C1002" s="87"/>
      <c r="D1002" s="43"/>
      <c r="E1002" s="43"/>
      <c r="F1002" s="43"/>
      <c r="G1002" s="161"/>
    </row>
    <row r="1003" ht="15.75" hidden="1" customHeight="1">
      <c r="A1003" s="43"/>
      <c r="B1003" s="43"/>
      <c r="C1003" s="87"/>
      <c r="D1003" s="43"/>
      <c r="E1003" s="43"/>
      <c r="F1003" s="43"/>
      <c r="G1003" s="161"/>
    </row>
    <row r="1004" ht="15.75" hidden="1" customHeight="1">
      <c r="A1004" s="43"/>
      <c r="B1004" s="43"/>
      <c r="C1004" s="87"/>
      <c r="D1004" s="43"/>
      <c r="E1004" s="43"/>
      <c r="F1004" s="43"/>
      <c r="G1004" s="161"/>
    </row>
    <row r="1005" ht="15.75" hidden="1" customHeight="1">
      <c r="A1005" s="43"/>
      <c r="B1005" s="43"/>
      <c r="C1005" s="87"/>
      <c r="D1005" s="43"/>
      <c r="E1005" s="43"/>
      <c r="F1005" s="43"/>
      <c r="G1005" s="161"/>
    </row>
    <row r="1006" ht="15.75" hidden="1" customHeight="1">
      <c r="A1006" s="43"/>
      <c r="B1006" s="43"/>
      <c r="C1006" s="87"/>
      <c r="D1006" s="43"/>
      <c r="E1006" s="43"/>
      <c r="F1006" s="43"/>
      <c r="G1006" s="161"/>
    </row>
    <row r="1007" ht="15.75" hidden="1" customHeight="1">
      <c r="A1007" s="43"/>
      <c r="B1007" s="43"/>
      <c r="C1007" s="87"/>
      <c r="D1007" s="43"/>
      <c r="E1007" s="43"/>
      <c r="F1007" s="43"/>
      <c r="G1007" s="161"/>
    </row>
    <row r="1008" ht="15.75" hidden="1" customHeight="1">
      <c r="A1008" s="43"/>
      <c r="B1008" s="43"/>
      <c r="C1008" s="87"/>
      <c r="D1008" s="43"/>
      <c r="E1008" s="43"/>
      <c r="F1008" s="43"/>
      <c r="G1008" s="161"/>
    </row>
    <row r="1009" ht="15.75" hidden="1" customHeight="1">
      <c r="A1009" s="43"/>
      <c r="B1009" s="43"/>
      <c r="C1009" s="87"/>
      <c r="D1009" s="43"/>
      <c r="E1009" s="43"/>
      <c r="F1009" s="43"/>
      <c r="G1009" s="161"/>
    </row>
    <row r="1010" ht="15.75" hidden="1" customHeight="1">
      <c r="A1010" s="43"/>
      <c r="B1010" s="43"/>
      <c r="C1010" s="87"/>
      <c r="D1010" s="43"/>
      <c r="E1010" s="43"/>
      <c r="F1010" s="43"/>
      <c r="G1010" s="161"/>
    </row>
    <row r="1011" ht="15.75" hidden="1" customHeight="1">
      <c r="A1011" s="168">
        <v>176.0</v>
      </c>
      <c r="B1011" s="169">
        <v>46169.0</v>
      </c>
      <c r="C1011" s="170">
        <v>17.0</v>
      </c>
      <c r="D1011" s="43" t="s">
        <v>171</v>
      </c>
      <c r="E1011" s="43" t="s">
        <v>57</v>
      </c>
      <c r="F1011" s="43" t="s">
        <v>689</v>
      </c>
      <c r="G1011" s="161" t="s">
        <v>690</v>
      </c>
    </row>
    <row r="1012" ht="15.75" hidden="1" customHeight="1">
      <c r="A1012" s="171">
        <v>176.0</v>
      </c>
      <c r="B1012" s="169">
        <v>46169.0</v>
      </c>
      <c r="C1012" s="170">
        <v>22.87</v>
      </c>
      <c r="D1012" s="43" t="s">
        <v>171</v>
      </c>
      <c r="E1012" s="43" t="s">
        <v>57</v>
      </c>
      <c r="F1012" s="43" t="s">
        <v>689</v>
      </c>
      <c r="G1012" s="172" t="s">
        <v>690</v>
      </c>
    </row>
    <row r="1013" ht="15.75" hidden="1" customHeight="1">
      <c r="A1013" s="168">
        <v>176.0</v>
      </c>
      <c r="B1013" s="169">
        <v>46169.0</v>
      </c>
      <c r="C1013" s="170">
        <v>39.18</v>
      </c>
      <c r="D1013" s="183" t="s">
        <v>171</v>
      </c>
      <c r="E1013" s="43" t="s">
        <v>57</v>
      </c>
      <c r="F1013" s="43" t="s">
        <v>689</v>
      </c>
      <c r="G1013" s="172" t="s">
        <v>690</v>
      </c>
    </row>
    <row r="1014" ht="15.75" hidden="1" customHeight="1">
      <c r="A1014" s="168">
        <v>176.0</v>
      </c>
      <c r="B1014" s="169">
        <v>46164.0</v>
      </c>
      <c r="C1014" s="170">
        <v>1697.6</v>
      </c>
      <c r="D1014" s="43" t="s">
        <v>691</v>
      </c>
      <c r="E1014" s="43" t="s">
        <v>57</v>
      </c>
      <c r="F1014" s="43" t="s">
        <v>689</v>
      </c>
      <c r="G1014" s="161" t="s">
        <v>173</v>
      </c>
    </row>
    <row r="1015" ht="15.75" hidden="1" customHeight="1">
      <c r="A1015" s="171">
        <v>176.0</v>
      </c>
      <c r="B1015" s="169">
        <v>46168.0</v>
      </c>
      <c r="C1015" s="170">
        <v>167.64</v>
      </c>
      <c r="D1015" s="43" t="s">
        <v>692</v>
      </c>
      <c r="E1015" s="43" t="s">
        <v>57</v>
      </c>
      <c r="F1015" s="43" t="s">
        <v>693</v>
      </c>
      <c r="G1015" s="161" t="s">
        <v>694</v>
      </c>
    </row>
    <row r="1016" ht="15.75" customHeight="1">
      <c r="A1016" s="162">
        <v>178.0</v>
      </c>
      <c r="B1016" s="163">
        <v>46173.0</v>
      </c>
      <c r="C1016" s="164">
        <v>170.0</v>
      </c>
      <c r="D1016" s="165" t="s">
        <v>695</v>
      </c>
      <c r="E1016" s="43" t="s">
        <v>59</v>
      </c>
      <c r="F1016" s="166" t="s">
        <v>124</v>
      </c>
      <c r="G1016" s="193">
        <v>3106.0</v>
      </c>
    </row>
    <row r="1017" ht="15.75" customHeight="1">
      <c r="A1017" s="162">
        <v>178.0</v>
      </c>
      <c r="B1017" s="163">
        <v>46173.0</v>
      </c>
      <c r="C1017" s="164">
        <v>170.0</v>
      </c>
      <c r="D1017" s="165" t="s">
        <v>696</v>
      </c>
      <c r="E1017" s="43" t="s">
        <v>59</v>
      </c>
      <c r="F1017" s="166" t="s">
        <v>124</v>
      </c>
      <c r="G1017" s="193">
        <v>3108.0</v>
      </c>
    </row>
    <row r="1018" ht="15.75" customHeight="1">
      <c r="A1018" s="162">
        <v>178.0</v>
      </c>
      <c r="B1018" s="163">
        <v>46173.0</v>
      </c>
      <c r="C1018" s="164">
        <v>275.0</v>
      </c>
      <c r="D1018" s="165" t="s">
        <v>697</v>
      </c>
      <c r="E1018" s="43" t="s">
        <v>59</v>
      </c>
      <c r="F1018" s="166" t="s">
        <v>124</v>
      </c>
      <c r="G1018" s="193">
        <v>3112.0</v>
      </c>
    </row>
    <row r="1019" ht="15.75" customHeight="1">
      <c r="A1019" s="162">
        <v>178.0</v>
      </c>
      <c r="B1019" s="163">
        <v>46173.0</v>
      </c>
      <c r="C1019" s="164">
        <v>160.0</v>
      </c>
      <c r="D1019" s="165" t="s">
        <v>698</v>
      </c>
      <c r="E1019" s="43" t="s">
        <v>8</v>
      </c>
      <c r="F1019" s="166" t="s">
        <v>74</v>
      </c>
      <c r="G1019" s="178" t="s">
        <v>699</v>
      </c>
    </row>
    <row r="1020" ht="15.75" customHeight="1">
      <c r="A1020" s="162">
        <v>178.0</v>
      </c>
      <c r="B1020" s="163">
        <v>46173.0</v>
      </c>
      <c r="C1020" s="164">
        <v>150.0</v>
      </c>
      <c r="D1020" s="165" t="s">
        <v>700</v>
      </c>
      <c r="E1020" s="43" t="s">
        <v>8</v>
      </c>
      <c r="F1020" s="166" t="s">
        <v>151</v>
      </c>
      <c r="G1020" s="178" t="s">
        <v>701</v>
      </c>
    </row>
    <row r="1021" ht="15.75" customHeight="1">
      <c r="A1021" s="162">
        <v>178.0</v>
      </c>
      <c r="B1021" s="163">
        <v>46173.0</v>
      </c>
      <c r="C1021" s="164">
        <v>100.0</v>
      </c>
      <c r="D1021" s="165" t="s">
        <v>702</v>
      </c>
      <c r="E1021" s="43" t="s">
        <v>58</v>
      </c>
      <c r="F1021" s="166" t="s">
        <v>151</v>
      </c>
      <c r="G1021" s="178" t="s">
        <v>703</v>
      </c>
    </row>
    <row r="1022" ht="15.75" customHeight="1">
      <c r="A1022" s="162">
        <v>178.0</v>
      </c>
      <c r="B1022" s="163">
        <v>46173.0</v>
      </c>
      <c r="C1022" s="164">
        <v>100.01</v>
      </c>
      <c r="D1022" s="165" t="s">
        <v>704</v>
      </c>
      <c r="E1022" s="43" t="s">
        <v>59</v>
      </c>
      <c r="F1022" s="166" t="s">
        <v>151</v>
      </c>
      <c r="G1022" s="178" t="s">
        <v>705</v>
      </c>
    </row>
    <row r="1023" ht="15.75" customHeight="1">
      <c r="A1023" s="162">
        <v>178.0</v>
      </c>
      <c r="B1023" s="163">
        <v>46173.0</v>
      </c>
      <c r="C1023" s="164">
        <v>202.5</v>
      </c>
      <c r="D1023" s="165" t="s">
        <v>706</v>
      </c>
      <c r="E1023" s="43" t="s">
        <v>8</v>
      </c>
      <c r="F1023" s="166" t="s">
        <v>124</v>
      </c>
      <c r="G1023" s="178" t="s">
        <v>707</v>
      </c>
    </row>
    <row r="1024" ht="15.75" customHeight="1">
      <c r="B1024" s="208"/>
      <c r="C1024" s="209"/>
      <c r="F1024" s="210"/>
      <c r="G1024" s="211"/>
    </row>
    <row r="1025" ht="15.75" customHeight="1">
      <c r="B1025" s="208"/>
      <c r="C1025" s="209"/>
      <c r="F1025" s="210"/>
      <c r="G1025" s="211"/>
    </row>
  </sheetData>
  <autoFilter ref="$A$1:$Z$1023">
    <filterColumn colId="0">
      <filters>
        <filter val="178"/>
      </filters>
    </filterColumn>
    <sortState ref="A1:Z1023">
      <sortCondition ref="E1:E1023"/>
      <sortCondition ref="C1:C1023"/>
      <sortCondition ref="D1:D1023"/>
      <sortCondition ref="B1:B1023"/>
      <sortCondition ref="F1:F1023"/>
    </sortState>
  </autoFilter>
  <dataValidations>
    <dataValidation type="list" allowBlank="1" showErrorMessage="1" sqref="E2:E495 E1011:E1023">
      <formula1>"L1,L2,RTC,YOU"</formula1>
    </dataValidation>
    <dataValidation type="list" allowBlank="1" showErrorMessage="1" sqref="F2:F1025">
      <formula1>"INSUMO BAR,UTENSILIO BAR,INSUMO COZ,UTENSILIO COZ,INSUMO LIMP,UTENSILIO LIMP,INSUMO SALÃO,UTENSILIO SALÃO,STAFF COZINHA,SEGURANÇA,ALUGUEL ITENS DIVERSOS,TECNICO DE SOM,UNIFORMES,REPOSIÇÃO INSUMOS,MÚSICOS,TRANSPORTE,MARKETING,SERVIÇO ADICIONAL CLIENTE,CUST"&amp;"OS BÁSICOS,MANUTENÇÃO,SERVIÇOS CONTABEIS,SISTEMA,IMPOSTOS,CUSTOS FINANCEIROS,INVESTIMENTO,TECNICO DE ILUMINAÇÃO,RETIRAR ITENS DE CLIENTE,VALLET,Taxas cartório/documentação,JÁ LANÇADO,BONIFICAÇÃO,NUTRICIONISTA,STAFF LOUÇA,STAFF SERVIÇO,STAFF ESPAÇO,STAFF F"&amp;"AXINA/MONTAGEM,REEMBOLSO CLIENTE"</formula1>
    </dataValidation>
  </dataValidations>
  <hyperlinks>
    <hyperlink r:id="rId1" ref="G261"/>
    <hyperlink r:id="rId2" ref="G262"/>
    <hyperlink r:id="rId3" ref="G263"/>
    <hyperlink r:id="rId4" ref="G264"/>
    <hyperlink r:id="rId5" ref="G266"/>
  </hyperlinks>
  <printOptions/>
  <pageMargins bottom="0.75" footer="0.0" header="0.0" left="0.7" right="0.7" top="0.75"/>
  <pageSetup scale="70" orientation="portrait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0.88"/>
    <col customWidth="1" min="3" max="3" width="11.13"/>
    <col customWidth="1" min="4" max="4" width="46.63"/>
    <col customWidth="1" min="5" max="5" width="31.5"/>
    <col customWidth="1" min="6" max="6" width="9.25"/>
    <col customWidth="1" min="7" max="7" width="22.38"/>
  </cols>
  <sheetData>
    <row r="1" ht="15.75" customHeight="1">
      <c r="A1" s="212" t="s">
        <v>142</v>
      </c>
      <c r="B1" s="212" t="s">
        <v>143</v>
      </c>
      <c r="C1" s="213" t="s">
        <v>144</v>
      </c>
      <c r="D1" s="212" t="s">
        <v>145</v>
      </c>
      <c r="E1" s="212" t="s">
        <v>146</v>
      </c>
      <c r="F1" s="212" t="s">
        <v>147</v>
      </c>
      <c r="G1" s="212" t="s">
        <v>148</v>
      </c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ht="15.75" customHeight="1">
      <c r="A2" s="215">
        <v>176.0</v>
      </c>
      <c r="B2" s="216">
        <v>46203.0</v>
      </c>
      <c r="C2" s="217">
        <v>437.74</v>
      </c>
      <c r="D2" s="218" t="s">
        <v>288</v>
      </c>
      <c r="E2" s="219" t="s">
        <v>57</v>
      </c>
      <c r="F2" s="220"/>
      <c r="G2" s="217" t="s">
        <v>286</v>
      </c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ht="15.75" customHeight="1">
      <c r="A3" s="215">
        <v>176.0</v>
      </c>
      <c r="B3" s="221">
        <v>46203.0</v>
      </c>
      <c r="C3" s="222">
        <v>21.98</v>
      </c>
      <c r="D3" s="223" t="s">
        <v>276</v>
      </c>
      <c r="E3" s="212"/>
      <c r="F3" s="220"/>
      <c r="G3" s="222" t="s">
        <v>708</v>
      </c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ht="15.75" customHeight="1">
      <c r="A4" s="215">
        <v>176.0</v>
      </c>
      <c r="B4" s="216">
        <v>46203.0</v>
      </c>
      <c r="C4" s="217">
        <v>406.11</v>
      </c>
      <c r="D4" s="217" t="s">
        <v>215</v>
      </c>
      <c r="E4" s="212"/>
      <c r="F4" s="220"/>
      <c r="G4" s="217" t="s">
        <v>305</v>
      </c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</row>
    <row r="5" ht="15.75" customHeight="1">
      <c r="A5" s="215">
        <v>176.0</v>
      </c>
      <c r="B5" s="221">
        <v>46203.0</v>
      </c>
      <c r="C5" s="222">
        <v>51.22</v>
      </c>
      <c r="D5" s="222" t="s">
        <v>171</v>
      </c>
      <c r="E5" s="212"/>
      <c r="F5" s="220"/>
      <c r="G5" s="222" t="s">
        <v>709</v>
      </c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</row>
    <row r="6" ht="15.75" customHeight="1">
      <c r="A6" s="215">
        <v>176.0</v>
      </c>
      <c r="B6" s="216">
        <v>46203.0</v>
      </c>
      <c r="C6" s="224">
        <v>1048.69</v>
      </c>
      <c r="D6" s="217" t="s">
        <v>211</v>
      </c>
      <c r="E6" s="212"/>
      <c r="F6" s="220"/>
      <c r="G6" s="217" t="s">
        <v>710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</row>
    <row r="7" ht="15.75" customHeight="1">
      <c r="A7" s="215">
        <v>176.0</v>
      </c>
      <c r="B7" s="221">
        <v>46203.0</v>
      </c>
      <c r="C7" s="222">
        <v>72.19</v>
      </c>
      <c r="D7" s="222" t="s">
        <v>288</v>
      </c>
      <c r="E7" s="212"/>
      <c r="F7" s="220"/>
      <c r="G7" s="222">
        <v>1.0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ht="15.75" customHeight="1">
      <c r="A8" s="215">
        <v>176.0</v>
      </c>
      <c r="B8" s="216">
        <v>46203.0</v>
      </c>
      <c r="C8" s="217">
        <v>136.0</v>
      </c>
      <c r="D8" s="225" t="s">
        <v>604</v>
      </c>
      <c r="E8" s="212"/>
      <c r="F8" s="220"/>
      <c r="G8" s="217">
        <v>3007.0</v>
      </c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ht="15.75" customHeight="1">
      <c r="A9" s="215">
        <v>176.0</v>
      </c>
      <c r="B9" s="221">
        <v>46203.0</v>
      </c>
      <c r="C9" s="222">
        <v>136.0</v>
      </c>
      <c r="D9" s="222" t="s">
        <v>451</v>
      </c>
      <c r="E9" s="212"/>
      <c r="F9" s="220"/>
      <c r="G9" s="222">
        <v>3008.0</v>
      </c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 ht="15.75" customHeight="1">
      <c r="A10" s="215">
        <v>176.0</v>
      </c>
      <c r="B10" s="216">
        <v>46203.0</v>
      </c>
      <c r="C10" s="217">
        <v>136.0</v>
      </c>
      <c r="D10" s="217" t="s">
        <v>711</v>
      </c>
      <c r="E10" s="212"/>
      <c r="F10" s="220"/>
      <c r="G10" s="217">
        <v>3009.0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 ht="15.75" customHeight="1">
      <c r="A11" s="215">
        <v>176.0</v>
      </c>
      <c r="B11" s="221">
        <v>46203.0</v>
      </c>
      <c r="C11" s="222">
        <v>153.0</v>
      </c>
      <c r="D11" s="222" t="s">
        <v>541</v>
      </c>
      <c r="E11" s="212"/>
      <c r="F11" s="220"/>
      <c r="G11" s="222">
        <v>3009.0</v>
      </c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 ht="15.75" customHeight="1">
      <c r="A12" s="215">
        <v>176.0</v>
      </c>
      <c r="B12" s="216">
        <v>46203.0</v>
      </c>
      <c r="C12" s="217">
        <v>153.0</v>
      </c>
      <c r="D12" s="225" t="s">
        <v>487</v>
      </c>
      <c r="E12" s="212"/>
      <c r="F12" s="220"/>
      <c r="G12" s="217">
        <v>3010.0</v>
      </c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</row>
    <row r="13" ht="15.75" customHeight="1">
      <c r="A13" s="215">
        <v>176.0</v>
      </c>
      <c r="B13" s="221">
        <v>46203.0</v>
      </c>
      <c r="C13" s="222">
        <v>150.0</v>
      </c>
      <c r="D13" s="222" t="s">
        <v>439</v>
      </c>
      <c r="E13" s="212"/>
      <c r="F13" s="220"/>
      <c r="G13" s="222">
        <v>3.00620261E8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</row>
    <row r="14" ht="15.75" customHeight="1">
      <c r="A14" s="215">
        <v>176.0</v>
      </c>
      <c r="B14" s="216">
        <v>46202.0</v>
      </c>
      <c r="C14" s="217">
        <v>255.0</v>
      </c>
      <c r="D14" s="217" t="s">
        <v>374</v>
      </c>
      <c r="E14" s="212"/>
      <c r="F14" s="220"/>
      <c r="G14" s="217" t="s">
        <v>712</v>
      </c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 ht="15.75" customHeight="1">
      <c r="A15" s="215">
        <v>176.0</v>
      </c>
      <c r="B15" s="221">
        <v>46202.0</v>
      </c>
      <c r="C15" s="222">
        <v>255.0</v>
      </c>
      <c r="D15" s="226" t="s">
        <v>403</v>
      </c>
      <c r="E15" s="212"/>
      <c r="F15" s="220"/>
      <c r="G15" s="222" t="s">
        <v>712</v>
      </c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 ht="15.75" customHeight="1">
      <c r="A16" s="215">
        <v>176.0</v>
      </c>
      <c r="B16" s="216">
        <v>46202.0</v>
      </c>
      <c r="C16" s="217">
        <v>160.0</v>
      </c>
      <c r="D16" s="217" t="s">
        <v>713</v>
      </c>
      <c r="E16" s="212"/>
      <c r="F16" s="220"/>
      <c r="G16" s="217" t="s">
        <v>714</v>
      </c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 ht="15.75" customHeight="1">
      <c r="A17" s="215">
        <v>176.0</v>
      </c>
      <c r="B17" s="221">
        <v>46202.0</v>
      </c>
      <c r="C17" s="222">
        <v>840.0</v>
      </c>
      <c r="D17" s="222" t="s">
        <v>656</v>
      </c>
      <c r="E17" s="212"/>
      <c r="F17" s="220"/>
      <c r="G17" s="222">
        <v>1102.0</v>
      </c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 ht="15.75" customHeight="1">
      <c r="A18" s="215">
        <v>176.0</v>
      </c>
      <c r="B18" s="216">
        <v>46202.0</v>
      </c>
      <c r="C18" s="224">
        <v>1190.0</v>
      </c>
      <c r="D18" s="217" t="s">
        <v>368</v>
      </c>
      <c r="E18" s="212"/>
      <c r="F18" s="220"/>
      <c r="G18" s="217">
        <v>2706.0</v>
      </c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 ht="15.75" customHeight="1">
      <c r="A19" s="215">
        <v>176.0</v>
      </c>
      <c r="B19" s="221">
        <v>46202.0</v>
      </c>
      <c r="C19" s="227">
        <v>2692.3</v>
      </c>
      <c r="D19" s="222" t="s">
        <v>365</v>
      </c>
      <c r="E19" s="212"/>
      <c r="F19" s="220"/>
      <c r="G19" s="222" t="s">
        <v>715</v>
      </c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 ht="15.75" customHeight="1">
      <c r="A20" s="215">
        <v>176.0</v>
      </c>
      <c r="B20" s="216">
        <v>46202.0</v>
      </c>
      <c r="C20" s="217">
        <v>167.82</v>
      </c>
      <c r="D20" s="217" t="s">
        <v>288</v>
      </c>
      <c r="E20" s="212"/>
      <c r="F20" s="220"/>
      <c r="G20" s="217" t="s">
        <v>716</v>
      </c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 ht="15.75" customHeight="1">
      <c r="A21" s="215">
        <v>176.0</v>
      </c>
      <c r="B21" s="221">
        <v>46201.0</v>
      </c>
      <c r="C21" s="222">
        <v>247.0</v>
      </c>
      <c r="D21" s="222" t="s">
        <v>461</v>
      </c>
      <c r="E21" s="212"/>
      <c r="F21" s="220"/>
      <c r="G21" s="222">
        <v>2801.0</v>
      </c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</row>
    <row r="22" ht="15.75" customHeight="1">
      <c r="A22" s="215">
        <v>176.0</v>
      </c>
      <c r="B22" s="216">
        <v>46201.0</v>
      </c>
      <c r="C22" s="217">
        <v>161.5</v>
      </c>
      <c r="D22" s="217" t="s">
        <v>557</v>
      </c>
      <c r="E22" s="212"/>
      <c r="F22" s="220"/>
      <c r="G22" s="217">
        <v>2.80620261E8</v>
      </c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 ht="15.75" customHeight="1">
      <c r="A23" s="215">
        <v>176.0</v>
      </c>
      <c r="B23" s="221">
        <v>46201.0</v>
      </c>
      <c r="C23" s="222">
        <v>166.24</v>
      </c>
      <c r="D23" s="222" t="s">
        <v>180</v>
      </c>
      <c r="E23" s="212"/>
      <c r="F23" s="220"/>
      <c r="G23" s="222" t="s">
        <v>717</v>
      </c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 ht="15.75" customHeight="1">
      <c r="A24" s="215">
        <v>176.0</v>
      </c>
      <c r="B24" s="216">
        <v>46201.0</v>
      </c>
      <c r="C24" s="217">
        <v>161.5</v>
      </c>
      <c r="D24" s="217" t="s">
        <v>718</v>
      </c>
      <c r="E24" s="212"/>
      <c r="F24" s="220"/>
      <c r="G24" s="217">
        <v>2.80620262E8</v>
      </c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</row>
    <row r="25" ht="15.75" customHeight="1">
      <c r="A25" s="215">
        <v>176.0</v>
      </c>
      <c r="B25" s="221">
        <v>46201.0</v>
      </c>
      <c r="C25" s="222">
        <v>161.5</v>
      </c>
      <c r="D25" s="222" t="s">
        <v>483</v>
      </c>
      <c r="E25" s="212"/>
      <c r="F25" s="220"/>
      <c r="G25" s="222">
        <v>2.80620263E8</v>
      </c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</row>
    <row r="26" ht="15.75" customHeight="1">
      <c r="A26" s="215">
        <v>176.0</v>
      </c>
      <c r="B26" s="216">
        <v>46201.0</v>
      </c>
      <c r="C26" s="217">
        <v>161.5</v>
      </c>
      <c r="D26" s="217" t="s">
        <v>719</v>
      </c>
      <c r="E26" s="212"/>
      <c r="F26" s="220"/>
      <c r="G26" s="217">
        <v>2.80620264E8</v>
      </c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 ht="15.75" customHeight="1">
      <c r="A27" s="215">
        <v>176.0</v>
      </c>
      <c r="B27" s="221">
        <v>46201.0</v>
      </c>
      <c r="C27" s="222">
        <v>178.5</v>
      </c>
      <c r="D27" s="222" t="s">
        <v>447</v>
      </c>
      <c r="E27" s="212"/>
      <c r="F27" s="220"/>
      <c r="G27" s="222">
        <v>2.80620265E8</v>
      </c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 ht="15.75" customHeight="1">
      <c r="A28" s="215">
        <v>176.0</v>
      </c>
      <c r="B28" s="216">
        <v>46201.0</v>
      </c>
      <c r="C28" s="217">
        <v>178.5</v>
      </c>
      <c r="D28" s="217" t="s">
        <v>624</v>
      </c>
      <c r="E28" s="212"/>
      <c r="F28" s="220"/>
      <c r="G28" s="217">
        <v>2.80620267E8</v>
      </c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 ht="15.75" customHeight="1">
      <c r="A29" s="215">
        <v>176.0</v>
      </c>
      <c r="B29" s="221">
        <v>46201.0</v>
      </c>
      <c r="C29" s="222">
        <v>178.5</v>
      </c>
      <c r="D29" s="223" t="s">
        <v>442</v>
      </c>
      <c r="E29" s="212"/>
      <c r="F29" s="220"/>
      <c r="G29" s="222">
        <v>2.8062026E7</v>
      </c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 ht="15.75" customHeight="1">
      <c r="A30" s="215">
        <v>176.0</v>
      </c>
      <c r="B30" s="216">
        <v>46201.0</v>
      </c>
      <c r="C30" s="217">
        <v>153.0</v>
      </c>
      <c r="D30" s="217" t="s">
        <v>720</v>
      </c>
      <c r="E30" s="212"/>
      <c r="F30" s="220"/>
      <c r="G30" s="217">
        <v>2.80620261E9</v>
      </c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 ht="15.75" customHeight="1">
      <c r="A31" s="215">
        <v>176.0</v>
      </c>
      <c r="B31" s="221">
        <v>46201.0</v>
      </c>
      <c r="C31" s="222">
        <v>161.5</v>
      </c>
      <c r="D31" s="222" t="s">
        <v>721</v>
      </c>
      <c r="E31" s="212"/>
      <c r="F31" s="220"/>
      <c r="G31" s="222">
        <v>2.806202611E9</v>
      </c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 ht="15.75" customHeight="1">
      <c r="A32" s="215">
        <v>176.0</v>
      </c>
      <c r="B32" s="216">
        <v>46201.0</v>
      </c>
      <c r="C32" s="217">
        <v>150.0</v>
      </c>
      <c r="D32" s="217" t="s">
        <v>722</v>
      </c>
      <c r="E32" s="212"/>
      <c r="F32" s="220"/>
      <c r="G32" s="217">
        <v>2.806202613E9</v>
      </c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 ht="15.75" customHeight="1">
      <c r="A33" s="215">
        <v>176.0</v>
      </c>
      <c r="B33" s="221">
        <v>46201.0</v>
      </c>
      <c r="C33" s="222">
        <v>275.0</v>
      </c>
      <c r="D33" s="222" t="s">
        <v>723</v>
      </c>
      <c r="E33" s="212"/>
      <c r="F33" s="220"/>
      <c r="G33" s="222">
        <v>2.80620263E9</v>
      </c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 ht="15.75" customHeight="1">
      <c r="A34" s="215">
        <v>176.0</v>
      </c>
      <c r="B34" s="216">
        <v>46201.0</v>
      </c>
      <c r="C34" s="217">
        <v>178.0</v>
      </c>
      <c r="D34" s="217" t="s">
        <v>724</v>
      </c>
      <c r="E34" s="212"/>
      <c r="F34" s="220"/>
      <c r="G34" s="217" t="s">
        <v>725</v>
      </c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 ht="15.75" customHeight="1">
      <c r="A35" s="215">
        <v>176.0</v>
      </c>
      <c r="B35" s="221">
        <v>46201.0</v>
      </c>
      <c r="C35" s="222">
        <v>178.5</v>
      </c>
      <c r="D35" s="223" t="s">
        <v>726</v>
      </c>
      <c r="E35" s="212"/>
      <c r="F35" s="220"/>
      <c r="G35" s="222">
        <v>2.8062026E7</v>
      </c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 ht="15.75" customHeight="1">
      <c r="A36" s="215">
        <v>176.0</v>
      </c>
      <c r="B36" s="216">
        <v>46200.0</v>
      </c>
      <c r="C36" s="217">
        <v>153.0</v>
      </c>
      <c r="D36" s="217" t="s">
        <v>475</v>
      </c>
      <c r="E36" s="212"/>
      <c r="F36" s="220"/>
      <c r="G36" s="217">
        <v>2706.0</v>
      </c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 ht="15.75" customHeight="1">
      <c r="A37" s="215">
        <v>176.0</v>
      </c>
      <c r="B37" s="221">
        <v>46200.0</v>
      </c>
      <c r="C37" s="222">
        <v>153.0</v>
      </c>
      <c r="D37" s="226" t="s">
        <v>468</v>
      </c>
      <c r="E37" s="212"/>
      <c r="F37" s="220"/>
      <c r="G37" s="222">
        <v>2702.0</v>
      </c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 ht="15.75" customHeight="1">
      <c r="A38" s="215">
        <v>176.0</v>
      </c>
      <c r="B38" s="216">
        <v>46200.0</v>
      </c>
      <c r="C38" s="217">
        <v>153.0</v>
      </c>
      <c r="D38" s="217" t="s">
        <v>520</v>
      </c>
      <c r="E38" s="212"/>
      <c r="F38" s="220"/>
      <c r="G38" s="217">
        <v>2703.0</v>
      </c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 ht="15.75" customHeight="1">
      <c r="A39" s="215">
        <v>176.0</v>
      </c>
      <c r="B39" s="221">
        <v>46200.0</v>
      </c>
      <c r="C39" s="222">
        <v>153.0</v>
      </c>
      <c r="D39" s="222" t="s">
        <v>453</v>
      </c>
      <c r="E39" s="212"/>
      <c r="F39" s="220"/>
      <c r="G39" s="222">
        <v>2705.0</v>
      </c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 ht="15.75" customHeight="1">
      <c r="A40" s="215">
        <v>176.0</v>
      </c>
      <c r="B40" s="216">
        <v>46200.0</v>
      </c>
      <c r="C40" s="217">
        <v>153.0</v>
      </c>
      <c r="D40" s="218" t="s">
        <v>541</v>
      </c>
      <c r="E40" s="212"/>
      <c r="F40" s="220"/>
      <c r="G40" s="217">
        <v>2707.0</v>
      </c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ht="15.75" customHeight="1">
      <c r="A41" s="215">
        <v>176.0</v>
      </c>
      <c r="B41" s="221">
        <v>46200.0</v>
      </c>
      <c r="C41" s="222">
        <v>153.0</v>
      </c>
      <c r="D41" s="223" t="s">
        <v>557</v>
      </c>
      <c r="E41" s="212"/>
      <c r="F41" s="220"/>
      <c r="G41" s="222">
        <v>2708.0</v>
      </c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 ht="15.75" customHeight="1">
      <c r="A42" s="215">
        <v>176.0</v>
      </c>
      <c r="B42" s="216">
        <v>46200.0</v>
      </c>
      <c r="C42" s="217">
        <v>153.0</v>
      </c>
      <c r="D42" s="217" t="s">
        <v>727</v>
      </c>
      <c r="E42" s="212"/>
      <c r="F42" s="220"/>
      <c r="G42" s="217">
        <v>2711.0</v>
      </c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 ht="15.75" customHeight="1">
      <c r="A43" s="215">
        <v>176.0</v>
      </c>
      <c r="B43" s="221">
        <v>46200.0</v>
      </c>
      <c r="C43" s="222">
        <v>140.0</v>
      </c>
      <c r="D43" s="222" t="s">
        <v>656</v>
      </c>
      <c r="E43" s="212"/>
      <c r="F43" s="220"/>
      <c r="G43" s="222" t="s">
        <v>728</v>
      </c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 ht="15.75" customHeight="1">
      <c r="A44" s="215">
        <v>176.0</v>
      </c>
      <c r="B44" s="216">
        <v>46200.0</v>
      </c>
      <c r="C44" s="217">
        <v>150.0</v>
      </c>
      <c r="D44" s="217" t="s">
        <v>729</v>
      </c>
      <c r="E44" s="212"/>
      <c r="F44" s="220"/>
      <c r="G44" s="217">
        <v>2711.0</v>
      </c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 ht="15.75" customHeight="1">
      <c r="A45" s="215">
        <v>176.0</v>
      </c>
      <c r="B45" s="221">
        <v>46200.0</v>
      </c>
      <c r="C45" s="222">
        <v>150.0</v>
      </c>
      <c r="D45" s="226" t="s">
        <v>730</v>
      </c>
      <c r="E45" s="212"/>
      <c r="F45" s="220"/>
      <c r="G45" s="222">
        <v>2712.0</v>
      </c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 ht="15.75" customHeight="1">
      <c r="A46" s="215">
        <v>176.0</v>
      </c>
      <c r="B46" s="216">
        <v>46200.0</v>
      </c>
      <c r="C46" s="217">
        <v>178.5</v>
      </c>
      <c r="D46" s="217" t="s">
        <v>461</v>
      </c>
      <c r="E46" s="212"/>
      <c r="F46" s="220"/>
      <c r="G46" s="217">
        <v>2713.0</v>
      </c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 ht="15.75" customHeight="1">
      <c r="A47" s="215">
        <v>176.0</v>
      </c>
      <c r="B47" s="221">
        <v>46200.0</v>
      </c>
      <c r="C47" s="222">
        <v>178.5</v>
      </c>
      <c r="D47" s="222" t="s">
        <v>711</v>
      </c>
      <c r="E47" s="212"/>
      <c r="F47" s="220"/>
      <c r="G47" s="222">
        <v>2714.0</v>
      </c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 ht="15.75" customHeight="1">
      <c r="A48" s="215">
        <v>176.0</v>
      </c>
      <c r="B48" s="216">
        <v>46200.0</v>
      </c>
      <c r="C48" s="217">
        <v>178.5</v>
      </c>
      <c r="D48" s="225" t="s">
        <v>731</v>
      </c>
      <c r="E48" s="212"/>
      <c r="F48" s="220"/>
      <c r="G48" s="217">
        <v>2715.0</v>
      </c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 ht="15.75" customHeight="1">
      <c r="A49" s="215">
        <v>176.0</v>
      </c>
      <c r="B49" s="221">
        <v>46200.0</v>
      </c>
      <c r="C49" s="222">
        <v>178.5</v>
      </c>
      <c r="D49" s="222" t="s">
        <v>442</v>
      </c>
      <c r="E49" s="212"/>
      <c r="F49" s="220"/>
      <c r="G49" s="222">
        <v>2716.0</v>
      </c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 ht="15.75" customHeight="1">
      <c r="A50" s="215">
        <v>176.0</v>
      </c>
      <c r="B50" s="216">
        <v>46200.0</v>
      </c>
      <c r="C50" s="217">
        <v>161.5</v>
      </c>
      <c r="D50" s="225" t="s">
        <v>732</v>
      </c>
      <c r="E50" s="212"/>
      <c r="F50" s="220"/>
      <c r="G50" s="217">
        <v>2717.0</v>
      </c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 ht="15.75" customHeight="1">
      <c r="A51" s="215">
        <v>176.0</v>
      </c>
      <c r="B51" s="221">
        <v>46200.0</v>
      </c>
      <c r="C51" s="222">
        <v>161.5</v>
      </c>
      <c r="D51" s="226" t="s">
        <v>533</v>
      </c>
      <c r="E51" s="212"/>
      <c r="F51" s="220"/>
      <c r="G51" s="222">
        <v>2718.0</v>
      </c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 ht="15.75" customHeight="1">
      <c r="A52" s="215">
        <v>176.0</v>
      </c>
      <c r="B52" s="216">
        <v>46200.0</v>
      </c>
      <c r="C52" s="217">
        <v>178.5</v>
      </c>
      <c r="D52" s="225" t="s">
        <v>447</v>
      </c>
      <c r="E52" s="212"/>
      <c r="F52" s="220"/>
      <c r="G52" s="217">
        <v>2718.0</v>
      </c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 ht="15.75" customHeight="1">
      <c r="A53" s="215">
        <v>176.0</v>
      </c>
      <c r="B53" s="221">
        <v>46200.0</v>
      </c>
      <c r="C53" s="222">
        <v>150.0</v>
      </c>
      <c r="D53" s="226" t="s">
        <v>604</v>
      </c>
      <c r="E53" s="212"/>
      <c r="F53" s="220"/>
      <c r="G53" s="222">
        <v>2719.0</v>
      </c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</row>
    <row r="54" ht="15.75" customHeight="1">
      <c r="A54" s="215">
        <v>176.0</v>
      </c>
      <c r="B54" s="216">
        <v>46200.0</v>
      </c>
      <c r="C54" s="217">
        <v>170.0</v>
      </c>
      <c r="D54" s="217" t="s">
        <v>451</v>
      </c>
      <c r="E54" s="212"/>
      <c r="F54" s="220"/>
      <c r="G54" s="217">
        <v>2721.0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</row>
    <row r="55" ht="15.75" customHeight="1">
      <c r="A55" s="215">
        <v>176.0</v>
      </c>
      <c r="B55" s="221">
        <v>46200.0</v>
      </c>
      <c r="C55" s="222">
        <v>47.91</v>
      </c>
      <c r="D55" s="226" t="s">
        <v>664</v>
      </c>
      <c r="E55" s="212"/>
      <c r="F55" s="220"/>
      <c r="G55" s="222" t="s">
        <v>669</v>
      </c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</row>
    <row r="56" ht="15.75" customHeight="1">
      <c r="A56" s="215">
        <v>176.0</v>
      </c>
      <c r="B56" s="216">
        <v>46200.0</v>
      </c>
      <c r="C56" s="217">
        <v>202.19</v>
      </c>
      <c r="D56" s="217" t="s">
        <v>269</v>
      </c>
      <c r="E56" s="212"/>
      <c r="F56" s="220"/>
      <c r="G56" s="217" t="s">
        <v>733</v>
      </c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</row>
    <row r="57" ht="15.75" customHeight="1">
      <c r="A57" s="215">
        <v>176.0</v>
      </c>
      <c r="B57" s="221">
        <v>46200.0</v>
      </c>
      <c r="C57" s="222">
        <v>256.57</v>
      </c>
      <c r="D57" s="222" t="s">
        <v>288</v>
      </c>
      <c r="E57" s="212"/>
      <c r="F57" s="220"/>
      <c r="G57" s="222" t="s">
        <v>734</v>
      </c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</row>
    <row r="58" ht="15.75" customHeight="1">
      <c r="A58" s="215">
        <v>176.0</v>
      </c>
      <c r="B58" s="216">
        <v>46200.0</v>
      </c>
      <c r="C58" s="217">
        <v>27.77</v>
      </c>
      <c r="D58" s="217" t="s">
        <v>276</v>
      </c>
      <c r="E58" s="212"/>
      <c r="F58" s="220"/>
      <c r="G58" s="217" t="s">
        <v>223</v>
      </c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</row>
    <row r="59" ht="15.75" customHeight="1">
      <c r="A59" s="215">
        <v>176.0</v>
      </c>
      <c r="B59" s="221">
        <v>46200.0</v>
      </c>
      <c r="C59" s="222">
        <v>170.0</v>
      </c>
      <c r="D59" s="222" t="s">
        <v>735</v>
      </c>
      <c r="E59" s="212"/>
      <c r="F59" s="220"/>
      <c r="G59" s="222">
        <v>2721.0</v>
      </c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 ht="15.75" customHeight="1">
      <c r="A60" s="215">
        <v>176.0</v>
      </c>
      <c r="B60" s="216">
        <v>46200.0</v>
      </c>
      <c r="C60" s="217">
        <v>70.52</v>
      </c>
      <c r="D60" s="217" t="s">
        <v>288</v>
      </c>
      <c r="E60" s="212"/>
      <c r="F60" s="220"/>
      <c r="G60" s="217" t="s">
        <v>736</v>
      </c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</row>
    <row r="61" ht="15.75" customHeight="1">
      <c r="A61" s="215">
        <v>176.0</v>
      </c>
      <c r="B61" s="221">
        <v>46200.0</v>
      </c>
      <c r="C61" s="222">
        <v>158.71</v>
      </c>
      <c r="D61" s="222" t="s">
        <v>288</v>
      </c>
      <c r="E61" s="212"/>
      <c r="F61" s="220"/>
      <c r="G61" s="222" t="s">
        <v>737</v>
      </c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</row>
    <row r="62" ht="15.75" customHeight="1">
      <c r="A62" s="215">
        <v>176.0</v>
      </c>
      <c r="B62" s="216">
        <v>46200.0</v>
      </c>
      <c r="C62" s="217">
        <v>422.87</v>
      </c>
      <c r="D62" s="217" t="s">
        <v>221</v>
      </c>
      <c r="E62" s="212"/>
      <c r="F62" s="220"/>
      <c r="G62" s="217" t="s">
        <v>168</v>
      </c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</row>
    <row r="63" ht="15.75" customHeight="1">
      <c r="A63" s="215">
        <v>176.0</v>
      </c>
      <c r="B63" s="221">
        <v>46200.0</v>
      </c>
      <c r="C63" s="222">
        <v>127.5</v>
      </c>
      <c r="D63" s="223" t="s">
        <v>431</v>
      </c>
      <c r="E63" s="212"/>
      <c r="F63" s="220"/>
      <c r="G63" s="222">
        <v>2722.0</v>
      </c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</row>
    <row r="64" ht="15.75" customHeight="1">
      <c r="A64" s="215">
        <v>176.0</v>
      </c>
      <c r="B64" s="216">
        <v>46200.0</v>
      </c>
      <c r="C64" s="217">
        <v>187.0</v>
      </c>
      <c r="D64" s="217" t="s">
        <v>711</v>
      </c>
      <c r="E64" s="212"/>
      <c r="F64" s="220"/>
      <c r="G64" s="217">
        <v>2723.0</v>
      </c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</row>
    <row r="65" ht="15.75" customHeight="1">
      <c r="A65" s="215">
        <v>176.0</v>
      </c>
      <c r="B65" s="221">
        <v>46200.0</v>
      </c>
      <c r="C65" s="222">
        <v>187.0</v>
      </c>
      <c r="D65" s="222" t="s">
        <v>731</v>
      </c>
      <c r="E65" s="212"/>
      <c r="F65" s="220"/>
      <c r="G65" s="222">
        <v>2724.0</v>
      </c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</row>
    <row r="66" ht="15.75" customHeight="1">
      <c r="A66" s="215">
        <v>176.0</v>
      </c>
      <c r="B66" s="216">
        <v>46200.0</v>
      </c>
      <c r="C66" s="217">
        <v>170.0</v>
      </c>
      <c r="D66" s="217" t="s">
        <v>533</v>
      </c>
      <c r="E66" s="212"/>
      <c r="F66" s="220"/>
      <c r="G66" s="217">
        <v>2725.0</v>
      </c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</row>
    <row r="67" ht="15.75" customHeight="1">
      <c r="A67" s="215">
        <v>176.0</v>
      </c>
      <c r="B67" s="221">
        <v>46200.0</v>
      </c>
      <c r="C67" s="222">
        <v>170.0</v>
      </c>
      <c r="D67" s="222" t="s">
        <v>541</v>
      </c>
      <c r="E67" s="212"/>
      <c r="F67" s="220"/>
      <c r="G67" s="222">
        <v>2726.0</v>
      </c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</row>
    <row r="68" ht="15.75" customHeight="1">
      <c r="A68" s="215">
        <v>176.0</v>
      </c>
      <c r="B68" s="216">
        <v>46200.0</v>
      </c>
      <c r="C68" s="217">
        <v>170.0</v>
      </c>
      <c r="D68" s="217" t="s">
        <v>520</v>
      </c>
      <c r="E68" s="212"/>
      <c r="F68" s="220"/>
      <c r="G68" s="217">
        <v>2727.0</v>
      </c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 ht="15.75" customHeight="1">
      <c r="A69" s="215">
        <v>176.0</v>
      </c>
      <c r="B69" s="221">
        <v>46200.0</v>
      </c>
      <c r="C69" s="222">
        <v>41.76</v>
      </c>
      <c r="D69" s="222" t="s">
        <v>533</v>
      </c>
      <c r="E69" s="212"/>
      <c r="F69" s="220"/>
      <c r="G69" s="222">
        <v>2728.0</v>
      </c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ht="15.75" customHeight="1">
      <c r="A70" s="215">
        <v>176.0</v>
      </c>
      <c r="B70" s="216">
        <v>46200.0</v>
      </c>
      <c r="C70" s="217">
        <v>333.66</v>
      </c>
      <c r="D70" s="218" t="s">
        <v>180</v>
      </c>
      <c r="E70" s="212"/>
      <c r="F70" s="220"/>
      <c r="G70" s="217" t="s">
        <v>738</v>
      </c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 ht="15.75" customHeight="1">
      <c r="A71" s="215">
        <v>176.0</v>
      </c>
      <c r="B71" s="221">
        <v>46200.0</v>
      </c>
      <c r="C71" s="222">
        <v>17.0</v>
      </c>
      <c r="D71" s="223" t="s">
        <v>431</v>
      </c>
      <c r="E71" s="212"/>
      <c r="F71" s="220"/>
      <c r="G71" s="222">
        <v>2729.0</v>
      </c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 ht="15.75" customHeight="1">
      <c r="A72" s="215">
        <v>176.0</v>
      </c>
      <c r="B72" s="216">
        <v>46199.0</v>
      </c>
      <c r="C72" s="217">
        <v>295.5</v>
      </c>
      <c r="D72" s="218" t="s">
        <v>288</v>
      </c>
      <c r="E72" s="212"/>
      <c r="F72" s="220"/>
      <c r="G72" s="217" t="s">
        <v>739</v>
      </c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 ht="15.75" customHeight="1">
      <c r="A73" s="215">
        <v>176.0</v>
      </c>
      <c r="B73" s="221">
        <v>46199.0</v>
      </c>
      <c r="C73" s="222">
        <v>392.08</v>
      </c>
      <c r="D73" s="223" t="s">
        <v>189</v>
      </c>
      <c r="E73" s="212"/>
      <c r="F73" s="220"/>
      <c r="G73" s="222" t="s">
        <v>740</v>
      </c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 ht="15.75" customHeight="1">
      <c r="A74" s="215">
        <v>176.0</v>
      </c>
      <c r="B74" s="216">
        <v>46199.0</v>
      </c>
      <c r="C74" s="217">
        <v>80.3</v>
      </c>
      <c r="D74" s="218" t="s">
        <v>741</v>
      </c>
      <c r="E74" s="212"/>
      <c r="F74" s="220"/>
      <c r="G74" s="217" t="s">
        <v>739</v>
      </c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 ht="15.75" customHeight="1">
      <c r="A75" s="215">
        <v>176.0</v>
      </c>
      <c r="B75" s="221">
        <v>46199.0</v>
      </c>
      <c r="C75" s="222">
        <v>11.99</v>
      </c>
      <c r="D75" s="222" t="s">
        <v>276</v>
      </c>
      <c r="E75" s="212"/>
      <c r="F75" s="220"/>
      <c r="G75" s="222" t="s">
        <v>742</v>
      </c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 ht="15.75" customHeight="1">
      <c r="A76" s="215">
        <v>176.0</v>
      </c>
      <c r="B76" s="216">
        <v>46199.0</v>
      </c>
      <c r="C76" s="217">
        <v>71.68</v>
      </c>
      <c r="D76" s="225" t="s">
        <v>673</v>
      </c>
      <c r="E76" s="212"/>
      <c r="F76" s="220"/>
      <c r="G76" s="217" t="s">
        <v>743</v>
      </c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</row>
    <row r="77" ht="15.75" customHeight="1">
      <c r="A77" s="215">
        <v>176.0</v>
      </c>
      <c r="B77" s="221">
        <v>46199.0</v>
      </c>
      <c r="C77" s="222">
        <v>513.9</v>
      </c>
      <c r="D77" s="223" t="s">
        <v>172</v>
      </c>
      <c r="E77" s="212"/>
      <c r="F77" s="220"/>
      <c r="G77" s="222" t="s">
        <v>168</v>
      </c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</row>
    <row r="78" ht="15.75" customHeight="1">
      <c r="A78" s="215">
        <v>176.0</v>
      </c>
      <c r="B78" s="216">
        <v>46199.0</v>
      </c>
      <c r="C78" s="224">
        <v>2159.54</v>
      </c>
      <c r="D78" s="218" t="s">
        <v>744</v>
      </c>
      <c r="E78" s="212"/>
      <c r="F78" s="220"/>
      <c r="G78" s="217" t="s">
        <v>745</v>
      </c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</row>
    <row r="79" ht="15.75" customHeight="1">
      <c r="A79" s="215">
        <v>176.0</v>
      </c>
      <c r="B79" s="221">
        <v>46199.0</v>
      </c>
      <c r="C79" s="227">
        <v>1090.53</v>
      </c>
      <c r="D79" s="223" t="s">
        <v>746</v>
      </c>
      <c r="E79" s="212"/>
      <c r="F79" s="220"/>
      <c r="G79" s="222" t="s">
        <v>747</v>
      </c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</row>
    <row r="80" ht="15.75" customHeight="1">
      <c r="A80" s="215">
        <v>176.0</v>
      </c>
      <c r="B80" s="216">
        <v>46199.0</v>
      </c>
      <c r="C80" s="217">
        <v>114.35</v>
      </c>
      <c r="D80" s="225" t="s">
        <v>361</v>
      </c>
      <c r="E80" s="212"/>
      <c r="F80" s="220"/>
      <c r="G80" s="217" t="s">
        <v>748</v>
      </c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 ht="15.75" customHeight="1">
      <c r="A81" s="215">
        <v>176.0</v>
      </c>
      <c r="B81" s="221">
        <v>46199.0</v>
      </c>
      <c r="C81" s="222">
        <v>527.19</v>
      </c>
      <c r="D81" s="222" t="s">
        <v>288</v>
      </c>
      <c r="E81" s="212"/>
      <c r="F81" s="220"/>
      <c r="G81" s="222" t="s">
        <v>749</v>
      </c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 ht="15.75" customHeight="1">
      <c r="A82" s="215">
        <v>176.0</v>
      </c>
      <c r="B82" s="216">
        <v>46199.0</v>
      </c>
      <c r="C82" s="217">
        <v>542.81</v>
      </c>
      <c r="D82" s="217" t="s">
        <v>180</v>
      </c>
      <c r="E82" s="212"/>
      <c r="F82" s="220"/>
      <c r="G82" s="217" t="s">
        <v>168</v>
      </c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 ht="15.75" customHeight="1">
      <c r="A83" s="215">
        <v>176.0</v>
      </c>
      <c r="B83" s="221">
        <v>46199.0</v>
      </c>
      <c r="C83" s="222">
        <v>225.0</v>
      </c>
      <c r="D83" s="222" t="s">
        <v>374</v>
      </c>
      <c r="E83" s="212"/>
      <c r="F83" s="220"/>
      <c r="G83" s="222" t="s">
        <v>750</v>
      </c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 ht="15.75" customHeight="1">
      <c r="A84" s="215">
        <v>176.0</v>
      </c>
      <c r="B84" s="216">
        <v>46198.0</v>
      </c>
      <c r="C84" s="217">
        <v>557.41</v>
      </c>
      <c r="D84" s="217" t="s">
        <v>269</v>
      </c>
      <c r="E84" s="212"/>
      <c r="F84" s="220"/>
      <c r="G84" s="217" t="s">
        <v>751</v>
      </c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 ht="15.75" customHeight="1">
      <c r="A85" s="215">
        <v>176.0</v>
      </c>
      <c r="B85" s="221">
        <v>46198.0</v>
      </c>
      <c r="C85" s="222">
        <v>479.07</v>
      </c>
      <c r="D85" s="222" t="s">
        <v>288</v>
      </c>
      <c r="E85" s="212"/>
      <c r="F85" s="220"/>
      <c r="G85" s="222" t="s">
        <v>752</v>
      </c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 ht="15.75" customHeight="1">
      <c r="A86" s="215">
        <v>176.0</v>
      </c>
      <c r="B86" s="216">
        <v>46198.0</v>
      </c>
      <c r="C86" s="217">
        <v>245.58</v>
      </c>
      <c r="D86" s="217" t="s">
        <v>288</v>
      </c>
      <c r="E86" s="212"/>
      <c r="F86" s="220"/>
      <c r="G86" s="217" t="s">
        <v>753</v>
      </c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 ht="15.75" customHeight="1">
      <c r="A87" s="215">
        <v>176.0</v>
      </c>
      <c r="B87" s="221">
        <v>46198.0</v>
      </c>
      <c r="C87" s="222">
        <v>190.0</v>
      </c>
      <c r="D87" s="222" t="s">
        <v>374</v>
      </c>
      <c r="E87" s="212"/>
      <c r="F87" s="220"/>
      <c r="G87" s="222" t="s">
        <v>754</v>
      </c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 ht="15.75" customHeight="1">
      <c r="A88" s="215">
        <v>176.0</v>
      </c>
      <c r="B88" s="216">
        <v>46198.0</v>
      </c>
      <c r="C88" s="217">
        <v>180.0</v>
      </c>
      <c r="D88" s="217" t="s">
        <v>403</v>
      </c>
      <c r="E88" s="212"/>
      <c r="F88" s="220"/>
      <c r="G88" s="217" t="s">
        <v>754</v>
      </c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 ht="15.75" customHeight="1">
      <c r="A89" s="215">
        <v>176.0</v>
      </c>
      <c r="B89" s="221">
        <v>46198.0</v>
      </c>
      <c r="C89" s="222">
        <v>218.78</v>
      </c>
      <c r="D89" s="222" t="s">
        <v>189</v>
      </c>
      <c r="E89" s="212"/>
      <c r="F89" s="220"/>
      <c r="G89" s="222" t="s">
        <v>752</v>
      </c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 ht="15.75" customHeight="1">
      <c r="A90" s="215">
        <v>176.0</v>
      </c>
      <c r="B90" s="216">
        <v>46197.0</v>
      </c>
      <c r="C90" s="217">
        <v>445.45</v>
      </c>
      <c r="D90" s="218" t="s">
        <v>288</v>
      </c>
      <c r="E90" s="212"/>
      <c r="F90" s="220"/>
      <c r="G90" s="217">
        <v>1.0</v>
      </c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 ht="15.75" customHeight="1">
      <c r="A91" s="215">
        <v>176.0</v>
      </c>
      <c r="B91" s="221">
        <v>46197.0</v>
      </c>
      <c r="C91" s="222">
        <v>490.76</v>
      </c>
      <c r="D91" s="222" t="s">
        <v>189</v>
      </c>
      <c r="E91" s="212"/>
      <c r="F91" s="220"/>
      <c r="G91" s="222" t="s">
        <v>755</v>
      </c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 ht="15.75" customHeight="1">
      <c r="A92" s="215">
        <v>176.0</v>
      </c>
      <c r="B92" s="216">
        <v>46197.0</v>
      </c>
      <c r="C92" s="217">
        <v>170.0</v>
      </c>
      <c r="D92" s="225" t="s">
        <v>604</v>
      </c>
      <c r="E92" s="212"/>
      <c r="F92" s="220"/>
      <c r="G92" s="217">
        <v>2403.0</v>
      </c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 ht="15.75" customHeight="1">
      <c r="A93" s="215">
        <v>176.0</v>
      </c>
      <c r="B93" s="221">
        <v>46197.0</v>
      </c>
      <c r="C93" s="222">
        <v>170.0</v>
      </c>
      <c r="D93" s="222" t="s">
        <v>711</v>
      </c>
      <c r="E93" s="212"/>
      <c r="F93" s="220"/>
      <c r="G93" s="222">
        <v>2404.0</v>
      </c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 ht="15.75" customHeight="1">
      <c r="A94" s="215">
        <v>176.0</v>
      </c>
      <c r="B94" s="216">
        <v>46197.0</v>
      </c>
      <c r="C94" s="217">
        <v>136.0</v>
      </c>
      <c r="D94" s="218" t="s">
        <v>541</v>
      </c>
      <c r="E94" s="212"/>
      <c r="F94" s="220"/>
      <c r="G94" s="217">
        <v>2405.0</v>
      </c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 ht="15.75" customHeight="1">
      <c r="A95" s="215">
        <v>176.0</v>
      </c>
      <c r="B95" s="221">
        <v>46197.0</v>
      </c>
      <c r="C95" s="222">
        <v>136.0</v>
      </c>
      <c r="D95" s="226" t="s">
        <v>624</v>
      </c>
      <c r="E95" s="212"/>
      <c r="F95" s="220"/>
      <c r="G95" s="222">
        <v>2406.0</v>
      </c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 ht="15.75" customHeight="1">
      <c r="A96" s="215">
        <v>176.0</v>
      </c>
      <c r="B96" s="216">
        <v>46197.0</v>
      </c>
      <c r="C96" s="217">
        <v>136.0</v>
      </c>
      <c r="D96" s="217" t="s">
        <v>442</v>
      </c>
      <c r="E96" s="212"/>
      <c r="F96" s="220"/>
      <c r="G96" s="217">
        <v>2407.0</v>
      </c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 ht="15.75" customHeight="1">
      <c r="A97" s="215">
        <v>176.0</v>
      </c>
      <c r="B97" s="221">
        <v>46197.0</v>
      </c>
      <c r="C97" s="222">
        <v>119.0</v>
      </c>
      <c r="D97" s="222" t="s">
        <v>451</v>
      </c>
      <c r="E97" s="212"/>
      <c r="F97" s="220"/>
      <c r="G97" s="222">
        <v>2408.0</v>
      </c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 ht="15.75" customHeight="1">
      <c r="A98" s="215">
        <v>176.0</v>
      </c>
      <c r="B98" s="216">
        <v>46197.0</v>
      </c>
      <c r="C98" s="217">
        <v>138.9</v>
      </c>
      <c r="D98" s="217" t="s">
        <v>171</v>
      </c>
      <c r="E98" s="212"/>
      <c r="F98" s="220"/>
      <c r="G98" s="217" t="s">
        <v>756</v>
      </c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 ht="15.75" customHeight="1">
      <c r="A99" s="215">
        <v>176.0</v>
      </c>
      <c r="B99" s="221">
        <v>46197.0</v>
      </c>
      <c r="C99" s="222">
        <v>190.0</v>
      </c>
      <c r="D99" s="222" t="s">
        <v>374</v>
      </c>
      <c r="E99" s="212"/>
      <c r="F99" s="220"/>
      <c r="G99" s="222" t="s">
        <v>757</v>
      </c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</row>
    <row r="100" ht="15.75" customHeight="1">
      <c r="A100" s="215">
        <v>176.0</v>
      </c>
      <c r="B100" s="216">
        <v>46197.0</v>
      </c>
      <c r="C100" s="217">
        <v>160.0</v>
      </c>
      <c r="D100" s="225" t="s">
        <v>403</v>
      </c>
      <c r="E100" s="212"/>
      <c r="F100" s="220"/>
      <c r="G100" s="217" t="s">
        <v>757</v>
      </c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</row>
    <row r="101" ht="15.75" customHeight="1">
      <c r="A101" s="215">
        <v>176.0</v>
      </c>
      <c r="B101" s="221">
        <v>46197.0</v>
      </c>
      <c r="C101" s="222">
        <v>100.0</v>
      </c>
      <c r="D101" s="222" t="s">
        <v>758</v>
      </c>
      <c r="E101" s="212"/>
      <c r="F101" s="220"/>
      <c r="G101" s="222" t="s">
        <v>759</v>
      </c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</row>
    <row r="102" ht="15.75" customHeight="1">
      <c r="A102" s="215">
        <v>176.0</v>
      </c>
      <c r="B102" s="216">
        <v>46197.0</v>
      </c>
      <c r="C102" s="217">
        <v>136.0</v>
      </c>
      <c r="D102" s="217" t="s">
        <v>760</v>
      </c>
      <c r="E102" s="212"/>
      <c r="F102" s="220"/>
      <c r="G102" s="217">
        <v>2409.0</v>
      </c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</row>
    <row r="103" ht="15.75" customHeight="1">
      <c r="A103" s="215">
        <v>176.0</v>
      </c>
      <c r="B103" s="221">
        <v>46196.0</v>
      </c>
      <c r="C103" s="222">
        <v>32.36</v>
      </c>
      <c r="D103" s="222" t="s">
        <v>269</v>
      </c>
      <c r="E103" s="212"/>
      <c r="F103" s="220"/>
      <c r="G103" s="222" t="s">
        <v>761</v>
      </c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</row>
    <row r="104" ht="15.75" customHeight="1">
      <c r="A104" s="215">
        <v>176.0</v>
      </c>
      <c r="B104" s="216">
        <v>46196.0</v>
      </c>
      <c r="C104" s="217">
        <v>23.15</v>
      </c>
      <c r="D104" s="217" t="s">
        <v>276</v>
      </c>
      <c r="E104" s="212"/>
      <c r="F104" s="220"/>
      <c r="G104" s="217" t="s">
        <v>277</v>
      </c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</row>
    <row r="105" ht="15.75" customHeight="1">
      <c r="A105" s="215">
        <v>176.0</v>
      </c>
      <c r="B105" s="221">
        <v>46196.0</v>
      </c>
      <c r="C105" s="222">
        <v>558.68</v>
      </c>
      <c r="D105" s="222" t="s">
        <v>288</v>
      </c>
      <c r="E105" s="212"/>
      <c r="F105" s="220"/>
      <c r="G105" s="222" t="s">
        <v>762</v>
      </c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</row>
    <row r="106" ht="15.75" customHeight="1">
      <c r="A106" s="215">
        <v>176.0</v>
      </c>
      <c r="B106" s="216">
        <v>46196.0</v>
      </c>
      <c r="C106" s="217">
        <v>423.53</v>
      </c>
      <c r="D106" s="225" t="s">
        <v>288</v>
      </c>
      <c r="E106" s="212"/>
      <c r="F106" s="220"/>
      <c r="G106" s="217" t="s">
        <v>763</v>
      </c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</row>
    <row r="107" ht="15.75" customHeight="1">
      <c r="A107" s="215">
        <v>176.0</v>
      </c>
      <c r="B107" s="221">
        <v>46196.0</v>
      </c>
      <c r="C107" s="227">
        <v>1161.0</v>
      </c>
      <c r="D107" s="222" t="s">
        <v>764</v>
      </c>
      <c r="E107" s="212"/>
      <c r="F107" s="220"/>
      <c r="G107" s="222">
        <v>2308.0</v>
      </c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</row>
    <row r="108" ht="15.75" customHeight="1">
      <c r="A108" s="215">
        <v>176.0</v>
      </c>
      <c r="B108" s="216">
        <v>46196.0</v>
      </c>
      <c r="C108" s="217">
        <v>99.6</v>
      </c>
      <c r="D108" s="217" t="s">
        <v>171</v>
      </c>
      <c r="E108" s="212"/>
      <c r="F108" s="220"/>
      <c r="G108" s="217" t="s">
        <v>259</v>
      </c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</row>
    <row r="109" ht="15.75" customHeight="1">
      <c r="A109" s="215">
        <v>176.0</v>
      </c>
      <c r="B109" s="221">
        <v>46196.0</v>
      </c>
      <c r="C109" s="222">
        <v>71.3</v>
      </c>
      <c r="D109" s="222" t="s">
        <v>171</v>
      </c>
      <c r="E109" s="212"/>
      <c r="F109" s="220"/>
      <c r="G109" s="222" t="s">
        <v>259</v>
      </c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</row>
    <row r="110" ht="15.75" customHeight="1">
      <c r="A110" s="215">
        <v>176.0</v>
      </c>
      <c r="B110" s="216">
        <v>46196.0</v>
      </c>
      <c r="C110" s="217">
        <v>106.09</v>
      </c>
      <c r="D110" s="217" t="s">
        <v>267</v>
      </c>
      <c r="E110" s="212"/>
      <c r="F110" s="220"/>
      <c r="G110" s="217" t="s">
        <v>765</v>
      </c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</row>
    <row r="111" ht="15.75" customHeight="1">
      <c r="A111" s="215">
        <v>176.0</v>
      </c>
      <c r="B111" s="221">
        <v>46196.0</v>
      </c>
      <c r="C111" s="222">
        <v>262.11</v>
      </c>
      <c r="D111" s="222" t="s">
        <v>288</v>
      </c>
      <c r="E111" s="212"/>
      <c r="F111" s="220"/>
      <c r="G111" s="222" t="s">
        <v>757</v>
      </c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</row>
    <row r="112" ht="15.75" customHeight="1">
      <c r="A112" s="215">
        <v>176.0</v>
      </c>
      <c r="B112" s="216">
        <v>46196.0</v>
      </c>
      <c r="C112" s="217">
        <v>190.0</v>
      </c>
      <c r="D112" s="225" t="s">
        <v>374</v>
      </c>
      <c r="E112" s="212"/>
      <c r="F112" s="220"/>
      <c r="G112" s="217" t="s">
        <v>766</v>
      </c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</row>
    <row r="113" ht="15.75" customHeight="1">
      <c r="A113" s="215">
        <v>176.0</v>
      </c>
      <c r="B113" s="221">
        <v>46196.0</v>
      </c>
      <c r="C113" s="222">
        <v>300.0</v>
      </c>
      <c r="D113" s="226" t="s">
        <v>403</v>
      </c>
      <c r="E113" s="212"/>
      <c r="F113" s="220"/>
      <c r="G113" s="222" t="s">
        <v>767</v>
      </c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</row>
    <row r="114" ht="15.75" customHeight="1">
      <c r="A114" s="215">
        <v>176.0</v>
      </c>
      <c r="B114" s="216">
        <v>46196.0</v>
      </c>
      <c r="C114" s="217">
        <v>95.91</v>
      </c>
      <c r="D114" s="218" t="s">
        <v>664</v>
      </c>
      <c r="E114" s="212"/>
      <c r="F114" s="220"/>
      <c r="G114" s="217" t="s">
        <v>768</v>
      </c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</row>
    <row r="115" ht="15.75" customHeight="1">
      <c r="A115" s="215">
        <v>176.0</v>
      </c>
      <c r="B115" s="221">
        <v>46195.0</v>
      </c>
      <c r="C115" s="222">
        <v>73.22</v>
      </c>
      <c r="D115" s="222" t="s">
        <v>288</v>
      </c>
      <c r="E115" s="212"/>
      <c r="F115" s="220"/>
      <c r="G115" s="222">
        <v>1.0</v>
      </c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</row>
    <row r="116" ht="15.75" customHeight="1">
      <c r="A116" s="215">
        <v>176.0</v>
      </c>
      <c r="B116" s="216">
        <v>46195.0</v>
      </c>
      <c r="C116" s="217">
        <v>460.0</v>
      </c>
      <c r="D116" s="225" t="s">
        <v>372</v>
      </c>
      <c r="E116" s="212"/>
      <c r="F116" s="220"/>
      <c r="G116" s="217">
        <v>220601.0</v>
      </c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</row>
    <row r="117" ht="15.75" customHeight="1">
      <c r="A117" s="215">
        <v>176.0</v>
      </c>
      <c r="B117" s="221">
        <v>46195.0</v>
      </c>
      <c r="C117" s="222">
        <v>161.5</v>
      </c>
      <c r="D117" s="226" t="s">
        <v>769</v>
      </c>
      <c r="E117" s="212"/>
      <c r="F117" s="220"/>
      <c r="G117" s="222">
        <v>2201.0</v>
      </c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</row>
    <row r="118" ht="15.75" customHeight="1">
      <c r="A118" s="215">
        <v>176.0</v>
      </c>
      <c r="B118" s="216">
        <v>46194.0</v>
      </c>
      <c r="C118" s="217">
        <v>153.0</v>
      </c>
      <c r="D118" s="217" t="s">
        <v>520</v>
      </c>
      <c r="E118" s="212"/>
      <c r="F118" s="220"/>
      <c r="G118" s="217">
        <v>2106.0</v>
      </c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</row>
    <row r="119" ht="15.75" customHeight="1">
      <c r="A119" s="215">
        <v>176.0</v>
      </c>
      <c r="B119" s="221">
        <v>46194.0</v>
      </c>
      <c r="C119" s="222">
        <v>153.0</v>
      </c>
      <c r="D119" s="222" t="s">
        <v>541</v>
      </c>
      <c r="E119" s="212"/>
      <c r="F119" s="220"/>
      <c r="G119" s="222">
        <v>2107.0</v>
      </c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</row>
    <row r="120" ht="15.75" customHeight="1">
      <c r="A120" s="215">
        <v>176.0</v>
      </c>
      <c r="B120" s="216">
        <v>46194.0</v>
      </c>
      <c r="C120" s="217">
        <v>153.0</v>
      </c>
      <c r="D120" s="225" t="s">
        <v>557</v>
      </c>
      <c r="E120" s="212"/>
      <c r="F120" s="220"/>
      <c r="G120" s="217">
        <v>2008.0</v>
      </c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</row>
    <row r="121" ht="15.75" customHeight="1">
      <c r="A121" s="215">
        <v>176.0</v>
      </c>
      <c r="B121" s="221">
        <v>46194.0</v>
      </c>
      <c r="C121" s="222">
        <v>153.0</v>
      </c>
      <c r="D121" s="226" t="s">
        <v>431</v>
      </c>
      <c r="E121" s="212"/>
      <c r="F121" s="220"/>
      <c r="G121" s="222">
        <v>2110.0</v>
      </c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</row>
    <row r="122" ht="15.75" customHeight="1">
      <c r="A122" s="215">
        <v>176.0</v>
      </c>
      <c r="B122" s="216">
        <v>46194.0</v>
      </c>
      <c r="C122" s="217">
        <v>153.0</v>
      </c>
      <c r="D122" s="217" t="s">
        <v>453</v>
      </c>
      <c r="E122" s="212"/>
      <c r="F122" s="220"/>
      <c r="G122" s="217">
        <v>2111.0</v>
      </c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</row>
    <row r="123" ht="15.75" customHeight="1">
      <c r="A123" s="215">
        <v>176.0</v>
      </c>
      <c r="B123" s="221">
        <v>46194.0</v>
      </c>
      <c r="C123" s="222">
        <v>153.0</v>
      </c>
      <c r="D123" s="226" t="s">
        <v>487</v>
      </c>
      <c r="E123" s="212"/>
      <c r="F123" s="220"/>
      <c r="G123" s="222">
        <v>2113.0</v>
      </c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</row>
    <row r="124" ht="15.75" customHeight="1">
      <c r="A124" s="215">
        <v>176.0</v>
      </c>
      <c r="B124" s="216">
        <v>46194.0</v>
      </c>
      <c r="C124" s="217">
        <v>153.0</v>
      </c>
      <c r="D124" s="229" t="s">
        <v>770</v>
      </c>
      <c r="E124" s="212"/>
      <c r="F124" s="220"/>
      <c r="G124" s="217">
        <v>2114.0</v>
      </c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</row>
    <row r="125" ht="15.75" customHeight="1">
      <c r="A125" s="215">
        <v>176.0</v>
      </c>
      <c r="B125" s="221">
        <v>46194.0</v>
      </c>
      <c r="C125" s="222">
        <v>187.0</v>
      </c>
      <c r="D125" s="230" t="s">
        <v>483</v>
      </c>
      <c r="E125" s="212"/>
      <c r="F125" s="220"/>
      <c r="G125" s="222">
        <v>2115.0</v>
      </c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</row>
    <row r="126" ht="15.75" customHeight="1">
      <c r="A126" s="215">
        <v>176.0</v>
      </c>
      <c r="B126" s="216">
        <v>46194.0</v>
      </c>
      <c r="C126" s="217">
        <v>153.0</v>
      </c>
      <c r="D126" s="225" t="s">
        <v>451</v>
      </c>
      <c r="E126" s="212"/>
      <c r="F126" s="220"/>
      <c r="G126" s="217">
        <v>2116.0</v>
      </c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</row>
    <row r="127" ht="15.75" customHeight="1">
      <c r="A127" s="215">
        <v>176.0</v>
      </c>
      <c r="B127" s="221">
        <v>46194.0</v>
      </c>
      <c r="C127" s="222">
        <v>178.5</v>
      </c>
      <c r="D127" s="222" t="s">
        <v>442</v>
      </c>
      <c r="E127" s="212"/>
      <c r="F127" s="220"/>
      <c r="G127" s="222">
        <v>2119.0</v>
      </c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</row>
    <row r="128" ht="15.75" customHeight="1">
      <c r="A128" s="215">
        <v>176.0</v>
      </c>
      <c r="B128" s="216">
        <v>46194.0</v>
      </c>
      <c r="C128" s="217">
        <v>178.5</v>
      </c>
      <c r="D128" s="217" t="s">
        <v>461</v>
      </c>
      <c r="E128" s="212"/>
      <c r="F128" s="220"/>
      <c r="G128" s="217">
        <v>2120.0</v>
      </c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</row>
    <row r="129" ht="15.75" customHeight="1">
      <c r="A129" s="215">
        <v>176.0</v>
      </c>
      <c r="B129" s="221">
        <v>46194.0</v>
      </c>
      <c r="C129" s="222">
        <v>178.5</v>
      </c>
      <c r="D129" s="222" t="s">
        <v>624</v>
      </c>
      <c r="E129" s="212"/>
      <c r="F129" s="220"/>
      <c r="G129" s="222">
        <v>2121.0</v>
      </c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</row>
    <row r="130" ht="15.75" customHeight="1">
      <c r="A130" s="215">
        <v>176.0</v>
      </c>
      <c r="B130" s="216">
        <v>46194.0</v>
      </c>
      <c r="C130" s="217">
        <v>178.5</v>
      </c>
      <c r="D130" s="217" t="s">
        <v>447</v>
      </c>
      <c r="E130" s="212"/>
      <c r="F130" s="220"/>
      <c r="G130" s="217">
        <v>2122.0</v>
      </c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</row>
    <row r="131" ht="15.75" customHeight="1">
      <c r="A131" s="215">
        <v>176.0</v>
      </c>
      <c r="B131" s="221">
        <v>46194.0</v>
      </c>
      <c r="C131" s="222">
        <v>150.0</v>
      </c>
      <c r="D131" s="231" t="s">
        <v>578</v>
      </c>
      <c r="E131" s="212"/>
      <c r="F131" s="220"/>
      <c r="G131" s="222">
        <v>2127.0</v>
      </c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</row>
    <row r="132" ht="15.75" customHeight="1">
      <c r="A132" s="215">
        <v>176.0</v>
      </c>
      <c r="B132" s="216">
        <v>46194.0</v>
      </c>
      <c r="C132" s="217">
        <v>150.0</v>
      </c>
      <c r="D132" s="217" t="s">
        <v>771</v>
      </c>
      <c r="E132" s="212"/>
      <c r="F132" s="220"/>
      <c r="G132" s="217">
        <v>2128.0</v>
      </c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</row>
    <row r="133" ht="15.75" customHeight="1">
      <c r="A133" s="215">
        <v>176.0</v>
      </c>
      <c r="B133" s="221">
        <v>46194.0</v>
      </c>
      <c r="C133" s="222">
        <v>178.5</v>
      </c>
      <c r="D133" s="231" t="s">
        <v>772</v>
      </c>
      <c r="E133" s="212"/>
      <c r="F133" s="220"/>
      <c r="G133" s="222">
        <v>2129.0</v>
      </c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</row>
    <row r="134" ht="15.75" customHeight="1">
      <c r="A134" s="215">
        <v>176.0</v>
      </c>
      <c r="B134" s="216">
        <v>46194.0</v>
      </c>
      <c r="C134" s="217">
        <v>178.5</v>
      </c>
      <c r="D134" s="217" t="s">
        <v>773</v>
      </c>
      <c r="E134" s="212"/>
      <c r="F134" s="220"/>
      <c r="G134" s="217">
        <v>2130.0</v>
      </c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</row>
    <row r="135" ht="15.75" customHeight="1">
      <c r="A135" s="215">
        <v>176.0</v>
      </c>
      <c r="B135" s="221">
        <v>46194.0</v>
      </c>
      <c r="C135" s="222">
        <v>190.0</v>
      </c>
      <c r="D135" s="226" t="s">
        <v>374</v>
      </c>
      <c r="E135" s="212"/>
      <c r="F135" s="220"/>
      <c r="G135" s="222" t="s">
        <v>774</v>
      </c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</row>
    <row r="136" ht="15.75" customHeight="1">
      <c r="A136" s="215">
        <v>176.0</v>
      </c>
      <c r="B136" s="216">
        <v>46194.0</v>
      </c>
      <c r="C136" s="217">
        <v>210.0</v>
      </c>
      <c r="D136" s="225" t="s">
        <v>403</v>
      </c>
      <c r="E136" s="212"/>
      <c r="F136" s="220"/>
      <c r="G136" s="217" t="s">
        <v>775</v>
      </c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</row>
    <row r="137" ht="15.75" customHeight="1">
      <c r="A137" s="215">
        <v>176.0</v>
      </c>
      <c r="B137" s="221">
        <v>46193.0</v>
      </c>
      <c r="C137" s="222">
        <v>10.4</v>
      </c>
      <c r="D137" s="222" t="s">
        <v>224</v>
      </c>
      <c r="E137" s="212"/>
      <c r="F137" s="220"/>
      <c r="G137" s="222" t="s">
        <v>776</v>
      </c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</row>
    <row r="138" ht="15.75" customHeight="1">
      <c r="A138" s="215">
        <v>176.0</v>
      </c>
      <c r="B138" s="216">
        <v>46193.0</v>
      </c>
      <c r="C138" s="217">
        <v>61.86</v>
      </c>
      <c r="D138" s="217" t="s">
        <v>777</v>
      </c>
      <c r="E138" s="212"/>
      <c r="F138" s="220"/>
      <c r="G138" s="217" t="s">
        <v>778</v>
      </c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</row>
    <row r="139" ht="15.75" customHeight="1">
      <c r="A139" s="215">
        <v>176.0</v>
      </c>
      <c r="B139" s="221">
        <v>46193.0</v>
      </c>
      <c r="C139" s="222">
        <v>371.9</v>
      </c>
      <c r="D139" s="222" t="s">
        <v>288</v>
      </c>
      <c r="E139" s="212"/>
      <c r="F139" s="220"/>
      <c r="G139" s="222" t="s">
        <v>779</v>
      </c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</row>
    <row r="140" ht="15.75" customHeight="1">
      <c r="A140" s="215">
        <v>176.0</v>
      </c>
      <c r="B140" s="216">
        <v>46193.0</v>
      </c>
      <c r="C140" s="217">
        <v>304.3</v>
      </c>
      <c r="D140" s="217" t="s">
        <v>780</v>
      </c>
      <c r="E140" s="212"/>
      <c r="F140" s="220"/>
      <c r="G140" s="217" t="s">
        <v>781</v>
      </c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</row>
    <row r="141" ht="15.75" customHeight="1">
      <c r="A141" s="215">
        <v>176.0</v>
      </c>
      <c r="B141" s="221">
        <v>46193.0</v>
      </c>
      <c r="C141" s="222">
        <v>7.94</v>
      </c>
      <c r="D141" s="222" t="s">
        <v>673</v>
      </c>
      <c r="E141" s="212"/>
      <c r="F141" s="220"/>
      <c r="G141" s="222" t="s">
        <v>782</v>
      </c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</row>
    <row r="142" ht="15.75" customHeight="1">
      <c r="A142" s="215">
        <v>176.0</v>
      </c>
      <c r="B142" s="216">
        <v>46193.0</v>
      </c>
      <c r="C142" s="217">
        <v>304.04</v>
      </c>
      <c r="D142" s="217" t="s">
        <v>288</v>
      </c>
      <c r="E142" s="212"/>
      <c r="F142" s="220"/>
      <c r="G142" s="217">
        <v>1.0</v>
      </c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</row>
    <row r="143" ht="15.75" customHeight="1">
      <c r="A143" s="215">
        <v>176.0</v>
      </c>
      <c r="B143" s="221">
        <v>46193.0</v>
      </c>
      <c r="C143" s="222">
        <v>250.0</v>
      </c>
      <c r="D143" s="226" t="s">
        <v>251</v>
      </c>
      <c r="E143" s="212"/>
      <c r="F143" s="220"/>
      <c r="G143" s="222" t="s">
        <v>252</v>
      </c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</row>
    <row r="144" ht="15.75" customHeight="1">
      <c r="A144" s="215">
        <v>176.0</v>
      </c>
      <c r="B144" s="216">
        <v>46193.0</v>
      </c>
      <c r="C144" s="217">
        <v>47.51</v>
      </c>
      <c r="D144" s="217" t="s">
        <v>288</v>
      </c>
      <c r="E144" s="212"/>
      <c r="F144" s="220"/>
      <c r="G144" s="217" t="s">
        <v>783</v>
      </c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</row>
    <row r="145" ht="15.75" customHeight="1">
      <c r="A145" s="215">
        <v>176.0</v>
      </c>
      <c r="B145" s="221">
        <v>46193.0</v>
      </c>
      <c r="C145" s="222">
        <v>9.96</v>
      </c>
      <c r="D145" s="222" t="s">
        <v>673</v>
      </c>
      <c r="E145" s="212"/>
      <c r="F145" s="220"/>
      <c r="G145" s="222" t="s">
        <v>357</v>
      </c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</row>
    <row r="146" ht="15.75" customHeight="1">
      <c r="A146" s="215">
        <v>176.0</v>
      </c>
      <c r="B146" s="216">
        <v>46193.0</v>
      </c>
      <c r="C146" s="217">
        <v>10.14</v>
      </c>
      <c r="D146" s="217" t="s">
        <v>673</v>
      </c>
      <c r="E146" s="212"/>
      <c r="F146" s="220"/>
      <c r="G146" s="217" t="s">
        <v>357</v>
      </c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</row>
    <row r="147" ht="15.75" customHeight="1">
      <c r="A147" s="215">
        <v>176.0</v>
      </c>
      <c r="B147" s="221">
        <v>46193.0</v>
      </c>
      <c r="C147" s="222">
        <v>65.95</v>
      </c>
      <c r="D147" s="222" t="s">
        <v>288</v>
      </c>
      <c r="E147" s="212"/>
      <c r="F147" s="220"/>
      <c r="G147" s="222" t="s">
        <v>784</v>
      </c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</row>
    <row r="148" ht="15.75" customHeight="1">
      <c r="A148" s="215">
        <v>176.0</v>
      </c>
      <c r="B148" s="216">
        <v>46193.0</v>
      </c>
      <c r="C148" s="217">
        <v>55.08</v>
      </c>
      <c r="D148" s="217" t="s">
        <v>493</v>
      </c>
      <c r="E148" s="212"/>
      <c r="F148" s="220"/>
      <c r="G148" s="217" t="s">
        <v>736</v>
      </c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</row>
    <row r="149" ht="15.75" customHeight="1">
      <c r="A149" s="215">
        <v>176.0</v>
      </c>
      <c r="B149" s="221">
        <v>46193.0</v>
      </c>
      <c r="C149" s="222">
        <v>4.22</v>
      </c>
      <c r="D149" s="222" t="s">
        <v>673</v>
      </c>
      <c r="E149" s="212"/>
      <c r="F149" s="220"/>
      <c r="G149" s="222" t="s">
        <v>357</v>
      </c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</row>
    <row r="150" ht="15.75" customHeight="1">
      <c r="A150" s="215">
        <v>176.0</v>
      </c>
      <c r="B150" s="216">
        <v>46192.0</v>
      </c>
      <c r="C150" s="217">
        <v>513.2</v>
      </c>
      <c r="D150" s="217" t="s">
        <v>288</v>
      </c>
      <c r="E150" s="212"/>
      <c r="F150" s="220"/>
      <c r="G150" s="217" t="s">
        <v>779</v>
      </c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</row>
    <row r="151" ht="15.75" customHeight="1">
      <c r="A151" s="215">
        <v>176.0</v>
      </c>
      <c r="B151" s="221">
        <v>46192.0</v>
      </c>
      <c r="C151" s="222">
        <v>100.0</v>
      </c>
      <c r="D151" s="222" t="s">
        <v>664</v>
      </c>
      <c r="E151" s="212"/>
      <c r="F151" s="220"/>
      <c r="G151" s="222" t="s">
        <v>669</v>
      </c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</row>
    <row r="152" ht="15.75" customHeight="1">
      <c r="A152" s="215">
        <v>176.0</v>
      </c>
      <c r="B152" s="216">
        <v>46192.0</v>
      </c>
      <c r="C152" s="217">
        <v>39.0</v>
      </c>
      <c r="D152" s="217" t="s">
        <v>203</v>
      </c>
      <c r="E152" s="212"/>
      <c r="F152" s="220"/>
      <c r="G152" s="217" t="s">
        <v>204</v>
      </c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</row>
    <row r="153" ht="15.75" customHeight="1">
      <c r="A153" s="215">
        <v>176.0</v>
      </c>
      <c r="B153" s="221">
        <v>46192.0</v>
      </c>
      <c r="C153" s="222">
        <v>271.16</v>
      </c>
      <c r="D153" s="222" t="s">
        <v>215</v>
      </c>
      <c r="E153" s="212"/>
      <c r="F153" s="220"/>
      <c r="G153" s="222" t="s">
        <v>785</v>
      </c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</row>
    <row r="154" ht="15.75" customHeight="1">
      <c r="A154" s="215">
        <v>176.0</v>
      </c>
      <c r="B154" s="216">
        <v>46192.0</v>
      </c>
      <c r="C154" s="217">
        <v>320.0</v>
      </c>
      <c r="D154" s="217" t="s">
        <v>713</v>
      </c>
      <c r="E154" s="212"/>
      <c r="F154" s="220"/>
      <c r="G154" s="217" t="s">
        <v>786</v>
      </c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</row>
    <row r="155" ht="15.75" customHeight="1">
      <c r="A155" s="215">
        <v>176.0</v>
      </c>
      <c r="B155" s="221">
        <v>46192.0</v>
      </c>
      <c r="C155" s="222">
        <v>320.0</v>
      </c>
      <c r="D155" s="222" t="s">
        <v>403</v>
      </c>
      <c r="E155" s="212"/>
      <c r="F155" s="220"/>
      <c r="G155" s="222" t="s">
        <v>787</v>
      </c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</row>
    <row r="156" ht="15.75" customHeight="1">
      <c r="A156" s="215">
        <v>176.0</v>
      </c>
      <c r="B156" s="216">
        <v>46192.0</v>
      </c>
      <c r="C156" s="217">
        <v>190.0</v>
      </c>
      <c r="D156" s="217" t="s">
        <v>374</v>
      </c>
      <c r="E156" s="212"/>
      <c r="F156" s="220"/>
      <c r="G156" s="217" t="s">
        <v>788</v>
      </c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</row>
    <row r="157" ht="15.75" customHeight="1">
      <c r="A157" s="215">
        <v>176.0</v>
      </c>
      <c r="B157" s="221">
        <v>46192.0</v>
      </c>
      <c r="C157" s="222">
        <v>651.0</v>
      </c>
      <c r="D157" s="222" t="s">
        <v>789</v>
      </c>
      <c r="E157" s="212"/>
      <c r="F157" s="220"/>
      <c r="G157" s="222" t="s">
        <v>790</v>
      </c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</row>
    <row r="158" ht="15.75" customHeight="1">
      <c r="A158" s="215">
        <v>176.0</v>
      </c>
      <c r="B158" s="216">
        <v>46191.0</v>
      </c>
      <c r="C158" s="217">
        <v>780.34</v>
      </c>
      <c r="D158" s="225" t="s">
        <v>288</v>
      </c>
      <c r="E158" s="212"/>
      <c r="F158" s="220"/>
      <c r="G158" s="225" t="s">
        <v>779</v>
      </c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</row>
    <row r="159" ht="15.75" customHeight="1">
      <c r="A159" s="215">
        <v>176.0</v>
      </c>
      <c r="B159" s="221">
        <v>46191.0</v>
      </c>
      <c r="C159" s="222">
        <v>269.94</v>
      </c>
      <c r="D159" s="226" t="s">
        <v>288</v>
      </c>
      <c r="E159" s="212"/>
      <c r="F159" s="220"/>
      <c r="G159" s="222" t="s">
        <v>779</v>
      </c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</row>
    <row r="160" ht="15.75" customHeight="1">
      <c r="A160" s="215">
        <v>176.0</v>
      </c>
      <c r="B160" s="216">
        <v>46190.0</v>
      </c>
      <c r="C160" s="217">
        <v>175.3</v>
      </c>
      <c r="D160" s="217" t="s">
        <v>276</v>
      </c>
      <c r="E160" s="212"/>
      <c r="F160" s="220"/>
      <c r="G160" s="217" t="s">
        <v>779</v>
      </c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</row>
    <row r="161" ht="15.75" customHeight="1">
      <c r="A161" s="215">
        <v>176.0</v>
      </c>
      <c r="B161" s="221">
        <v>46190.0</v>
      </c>
      <c r="C161" s="222">
        <v>198.52</v>
      </c>
      <c r="D161" s="226" t="s">
        <v>288</v>
      </c>
      <c r="E161" s="212"/>
      <c r="F161" s="220"/>
      <c r="G161" s="222" t="s">
        <v>791</v>
      </c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</row>
    <row r="162" ht="15.75" customHeight="1">
      <c r="A162" s="215">
        <v>176.0</v>
      </c>
      <c r="B162" s="216">
        <v>46190.0</v>
      </c>
      <c r="C162" s="217">
        <v>109.65</v>
      </c>
      <c r="D162" s="217" t="s">
        <v>792</v>
      </c>
      <c r="E162" s="212"/>
      <c r="F162" s="220"/>
      <c r="G162" s="217" t="s">
        <v>793</v>
      </c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</row>
    <row r="163" ht="15.75" customHeight="1">
      <c r="A163" s="215">
        <v>176.0</v>
      </c>
      <c r="B163" s="221">
        <v>46190.0</v>
      </c>
      <c r="C163" s="227">
        <v>2132.54</v>
      </c>
      <c r="D163" s="223" t="s">
        <v>244</v>
      </c>
      <c r="E163" s="212"/>
      <c r="F163" s="220"/>
      <c r="G163" s="222" t="s">
        <v>259</v>
      </c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</row>
    <row r="164" ht="15.75" customHeight="1">
      <c r="A164" s="215">
        <v>176.0</v>
      </c>
      <c r="B164" s="216">
        <v>46190.0</v>
      </c>
      <c r="C164" s="217">
        <v>11.4</v>
      </c>
      <c r="D164" s="217" t="s">
        <v>673</v>
      </c>
      <c r="E164" s="212"/>
      <c r="F164" s="220"/>
      <c r="G164" s="217" t="s">
        <v>794</v>
      </c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</row>
    <row r="165" ht="15.75" customHeight="1">
      <c r="A165" s="215">
        <v>176.0</v>
      </c>
      <c r="B165" s="221">
        <v>46190.0</v>
      </c>
      <c r="C165" s="222">
        <v>340.0</v>
      </c>
      <c r="D165" s="222" t="s">
        <v>368</v>
      </c>
      <c r="E165" s="212"/>
      <c r="F165" s="220"/>
      <c r="G165" s="222">
        <v>1102.0</v>
      </c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</row>
    <row r="166" ht="15.75" customHeight="1">
      <c r="A166" s="215">
        <v>176.0</v>
      </c>
      <c r="B166" s="216">
        <v>46190.0</v>
      </c>
      <c r="C166" s="217">
        <v>637.0</v>
      </c>
      <c r="D166" s="217" t="s">
        <v>795</v>
      </c>
      <c r="E166" s="212"/>
      <c r="F166" s="220"/>
      <c r="G166" s="217">
        <v>1.6062026E7</v>
      </c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</row>
    <row r="167" ht="15.75" customHeight="1">
      <c r="A167" s="215">
        <v>176.0</v>
      </c>
      <c r="B167" s="221">
        <v>46190.0</v>
      </c>
      <c r="C167" s="222">
        <v>513.9</v>
      </c>
      <c r="D167" s="232" t="s">
        <v>172</v>
      </c>
      <c r="E167" s="212"/>
      <c r="F167" s="220"/>
      <c r="G167" s="222">
        <v>1.7202661E7</v>
      </c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</row>
    <row r="168" ht="15.75" customHeight="1">
      <c r="A168" s="215">
        <v>176.0</v>
      </c>
      <c r="B168" s="216">
        <v>46190.0</v>
      </c>
      <c r="C168" s="217">
        <v>210.0</v>
      </c>
      <c r="D168" s="217" t="s">
        <v>403</v>
      </c>
      <c r="E168" s="212"/>
      <c r="F168" s="220"/>
      <c r="G168" s="217" t="s">
        <v>796</v>
      </c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</row>
    <row r="169" ht="15.75" customHeight="1">
      <c r="A169" s="215">
        <v>176.0</v>
      </c>
      <c r="B169" s="221">
        <v>46190.0</v>
      </c>
      <c r="C169" s="222">
        <v>153.0</v>
      </c>
      <c r="D169" s="222" t="s">
        <v>797</v>
      </c>
      <c r="E169" s="212"/>
      <c r="F169" s="220"/>
      <c r="G169" s="222">
        <v>1701.0</v>
      </c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</row>
    <row r="170" ht="15.75" customHeight="1">
      <c r="A170" s="215">
        <v>176.0</v>
      </c>
      <c r="B170" s="216">
        <v>46190.0</v>
      </c>
      <c r="C170" s="217">
        <v>153.0</v>
      </c>
      <c r="D170" s="225" t="s">
        <v>723</v>
      </c>
      <c r="E170" s="212"/>
      <c r="F170" s="220"/>
      <c r="G170" s="217">
        <v>1702.0</v>
      </c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</row>
    <row r="171" ht="15.75" customHeight="1">
      <c r="A171" s="215">
        <v>176.0</v>
      </c>
      <c r="B171" s="221">
        <v>46189.0</v>
      </c>
      <c r="C171" s="222">
        <v>248.6</v>
      </c>
      <c r="D171" s="232" t="s">
        <v>171</v>
      </c>
      <c r="E171" s="212"/>
      <c r="F171" s="220"/>
      <c r="G171" s="222" t="s">
        <v>798</v>
      </c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</row>
    <row r="172" ht="15.75" customHeight="1">
      <c r="A172" s="215">
        <v>176.0</v>
      </c>
      <c r="B172" s="216">
        <v>46189.0</v>
      </c>
      <c r="C172" s="217">
        <v>248.6</v>
      </c>
      <c r="D172" s="218" t="s">
        <v>171</v>
      </c>
      <c r="E172" s="212"/>
      <c r="F172" s="220"/>
      <c r="G172" s="217" t="s">
        <v>799</v>
      </c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</row>
    <row r="173" ht="15.75" customHeight="1">
      <c r="A173" s="215">
        <v>176.0</v>
      </c>
      <c r="B173" s="221">
        <v>46189.0</v>
      </c>
      <c r="C173" s="222">
        <v>124.3</v>
      </c>
      <c r="D173" s="222" t="s">
        <v>171</v>
      </c>
      <c r="E173" s="212"/>
      <c r="F173" s="220"/>
      <c r="G173" s="222" t="s">
        <v>800</v>
      </c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</row>
    <row r="174" ht="15.75" customHeight="1">
      <c r="A174" s="215">
        <v>176.0</v>
      </c>
      <c r="B174" s="216">
        <v>46189.0</v>
      </c>
      <c r="C174" s="217">
        <v>639.0</v>
      </c>
      <c r="D174" s="217" t="s">
        <v>171</v>
      </c>
      <c r="E174" s="212"/>
      <c r="F174" s="220"/>
      <c r="G174" s="217" t="s">
        <v>709</v>
      </c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</row>
    <row r="175" ht="15.75" customHeight="1">
      <c r="A175" s="215">
        <v>176.0</v>
      </c>
      <c r="B175" s="221">
        <v>46189.0</v>
      </c>
      <c r="C175" s="222">
        <v>155.18</v>
      </c>
      <c r="D175" s="226" t="s">
        <v>288</v>
      </c>
      <c r="E175" s="212"/>
      <c r="F175" s="220"/>
      <c r="G175" s="222" t="s">
        <v>801</v>
      </c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</row>
    <row r="176" ht="15.75" customHeight="1">
      <c r="A176" s="215">
        <v>176.0</v>
      </c>
      <c r="B176" s="216">
        <v>46188.0</v>
      </c>
      <c r="C176" s="217">
        <v>58.95</v>
      </c>
      <c r="D176" s="225" t="s">
        <v>802</v>
      </c>
      <c r="E176" s="212"/>
      <c r="F176" s="220"/>
      <c r="G176" s="217" t="s">
        <v>803</v>
      </c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</row>
    <row r="177" ht="15.75" customHeight="1">
      <c r="A177" s="215">
        <v>176.0</v>
      </c>
      <c r="B177" s="221">
        <v>46188.0</v>
      </c>
      <c r="C177" s="227">
        <v>3634.65</v>
      </c>
      <c r="D177" s="222" t="s">
        <v>364</v>
      </c>
      <c r="E177" s="212"/>
      <c r="F177" s="220"/>
      <c r="G177" s="222">
        <v>1.5062026E7</v>
      </c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</row>
    <row r="178" ht="15.75" customHeight="1">
      <c r="A178" s="215">
        <v>176.0</v>
      </c>
      <c r="B178" s="216">
        <v>46188.0</v>
      </c>
      <c r="C178" s="224">
        <v>4000.0</v>
      </c>
      <c r="D178" s="217" t="s">
        <v>365</v>
      </c>
      <c r="E178" s="212"/>
      <c r="F178" s="220"/>
      <c r="G178" s="217">
        <v>1.5062026E7</v>
      </c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</row>
    <row r="179" ht="15.75" customHeight="1">
      <c r="A179" s="215">
        <v>176.0</v>
      </c>
      <c r="B179" s="221">
        <v>46187.0</v>
      </c>
      <c r="C179" s="222">
        <v>207.0</v>
      </c>
      <c r="D179" s="222" t="s">
        <v>518</v>
      </c>
      <c r="E179" s="212"/>
      <c r="F179" s="220"/>
      <c r="G179" s="222">
        <v>14666.0</v>
      </c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</row>
    <row r="180" ht="15.75" customHeight="1">
      <c r="A180" s="215">
        <v>176.0</v>
      </c>
      <c r="B180" s="216">
        <v>46187.0</v>
      </c>
      <c r="C180" s="217">
        <v>198.5</v>
      </c>
      <c r="D180" s="217" t="s">
        <v>447</v>
      </c>
      <c r="E180" s="212"/>
      <c r="F180" s="220"/>
      <c r="G180" s="217" t="s">
        <v>804</v>
      </c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</row>
    <row r="181" ht="15.75" customHeight="1">
      <c r="A181" s="215">
        <v>176.0</v>
      </c>
      <c r="B181" s="221">
        <v>46187.0</v>
      </c>
      <c r="C181" s="222">
        <v>198.5</v>
      </c>
      <c r="D181" s="222" t="s">
        <v>624</v>
      </c>
      <c r="E181" s="212"/>
      <c r="F181" s="220"/>
      <c r="G181" s="222">
        <v>140626.0</v>
      </c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</row>
    <row r="182" ht="15.75" customHeight="1">
      <c r="A182" s="215">
        <v>176.0</v>
      </c>
      <c r="B182" s="216">
        <v>46187.0</v>
      </c>
      <c r="C182" s="217">
        <v>147.5</v>
      </c>
      <c r="D182" s="217" t="s">
        <v>487</v>
      </c>
      <c r="E182" s="212"/>
      <c r="F182" s="220"/>
      <c r="G182" s="217">
        <v>140626.0</v>
      </c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</row>
    <row r="183" ht="15.75" customHeight="1">
      <c r="A183" s="215">
        <v>176.0</v>
      </c>
      <c r="B183" s="221">
        <v>46187.0</v>
      </c>
      <c r="C183" s="222">
        <v>147.5</v>
      </c>
      <c r="D183" s="222" t="s">
        <v>557</v>
      </c>
      <c r="E183" s="212"/>
      <c r="F183" s="220"/>
      <c r="G183" s="222">
        <v>140626.0</v>
      </c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</row>
    <row r="184" ht="15.75" customHeight="1">
      <c r="A184" s="215">
        <v>176.0</v>
      </c>
      <c r="B184" s="216">
        <v>46187.0</v>
      </c>
      <c r="C184" s="217">
        <v>190.0</v>
      </c>
      <c r="D184" s="217" t="s">
        <v>453</v>
      </c>
      <c r="E184" s="212"/>
      <c r="F184" s="220"/>
      <c r="G184" s="217">
        <v>140626.0</v>
      </c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</row>
    <row r="185" ht="15.75" customHeight="1">
      <c r="A185" s="215">
        <v>176.0</v>
      </c>
      <c r="B185" s="221">
        <v>46187.0</v>
      </c>
      <c r="C185" s="222">
        <v>190.0</v>
      </c>
      <c r="D185" s="222" t="s">
        <v>805</v>
      </c>
      <c r="E185" s="212"/>
      <c r="F185" s="220"/>
      <c r="G185" s="222">
        <v>140626.0</v>
      </c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</row>
    <row r="186" ht="15.75" customHeight="1">
      <c r="A186" s="215">
        <v>176.0</v>
      </c>
      <c r="B186" s="216">
        <v>46187.0</v>
      </c>
      <c r="C186" s="217">
        <v>295.0</v>
      </c>
      <c r="D186" s="217" t="s">
        <v>723</v>
      </c>
      <c r="E186" s="212"/>
      <c r="F186" s="220"/>
      <c r="G186" s="217">
        <v>140626.0</v>
      </c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</row>
    <row r="187" ht="15.75" customHeight="1">
      <c r="A187" s="215">
        <v>176.0</v>
      </c>
      <c r="B187" s="221">
        <v>46187.0</v>
      </c>
      <c r="C187" s="222">
        <v>190.0</v>
      </c>
      <c r="D187" s="222" t="s">
        <v>732</v>
      </c>
      <c r="E187" s="212"/>
      <c r="F187" s="220"/>
      <c r="G187" s="222">
        <v>140627.0</v>
      </c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5.75" customHeight="1">
      <c r="A188" s="215">
        <v>176.0</v>
      </c>
      <c r="B188" s="216">
        <v>46187.0</v>
      </c>
      <c r="C188" s="217">
        <v>190.0</v>
      </c>
      <c r="D188" s="217" t="s">
        <v>374</v>
      </c>
      <c r="E188" s="212"/>
      <c r="F188" s="220"/>
      <c r="G188" s="217" t="s">
        <v>806</v>
      </c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5.75" customHeight="1">
      <c r="A189" s="215">
        <v>176.0</v>
      </c>
      <c r="B189" s="221">
        <v>46187.0</v>
      </c>
      <c r="C189" s="222">
        <v>210.0</v>
      </c>
      <c r="D189" s="222" t="s">
        <v>403</v>
      </c>
      <c r="E189" s="212"/>
      <c r="F189" s="220"/>
      <c r="G189" s="222" t="s">
        <v>806</v>
      </c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</row>
    <row r="190" ht="15.75" customHeight="1">
      <c r="A190" s="215">
        <v>176.0</v>
      </c>
      <c r="B190" s="216">
        <v>46187.0</v>
      </c>
      <c r="C190" s="217">
        <v>150.0</v>
      </c>
      <c r="D190" s="217" t="s">
        <v>578</v>
      </c>
      <c r="E190" s="212"/>
      <c r="F190" s="220"/>
      <c r="G190" s="217" t="s">
        <v>807</v>
      </c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</row>
    <row r="191" ht="15.75" customHeight="1">
      <c r="A191" s="215">
        <v>176.0</v>
      </c>
      <c r="B191" s="221">
        <v>46187.0</v>
      </c>
      <c r="C191" s="222">
        <v>284.83</v>
      </c>
      <c r="D191" s="222" t="s">
        <v>808</v>
      </c>
      <c r="E191" s="212"/>
      <c r="F191" s="220"/>
      <c r="G191" s="222" t="s">
        <v>259</v>
      </c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</row>
    <row r="192" ht="15.75" customHeight="1">
      <c r="A192" s="215">
        <v>176.0</v>
      </c>
      <c r="B192" s="216">
        <v>46187.0</v>
      </c>
      <c r="C192" s="217">
        <v>150.0</v>
      </c>
      <c r="D192" s="217" t="s">
        <v>771</v>
      </c>
      <c r="E192" s="212"/>
      <c r="F192" s="220"/>
      <c r="G192" s="217" t="s">
        <v>807</v>
      </c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</row>
    <row r="193" ht="15.75" customHeight="1">
      <c r="A193" s="215">
        <v>176.0</v>
      </c>
      <c r="B193" s="221">
        <v>46187.0</v>
      </c>
      <c r="C193" s="222">
        <v>15.6</v>
      </c>
      <c r="D193" s="226" t="s">
        <v>673</v>
      </c>
      <c r="E193" s="212"/>
      <c r="F193" s="220"/>
      <c r="G193" s="222" t="s">
        <v>168</v>
      </c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 ht="15.75" customHeight="1">
      <c r="A194" s="215">
        <v>176.0</v>
      </c>
      <c r="B194" s="216">
        <v>46187.0</v>
      </c>
      <c r="C194" s="217">
        <v>275.0</v>
      </c>
      <c r="D194" s="217" t="s">
        <v>723</v>
      </c>
      <c r="E194" s="212"/>
      <c r="F194" s="220"/>
      <c r="G194" s="217">
        <v>1406.0</v>
      </c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 ht="15.75" customHeight="1">
      <c r="A195" s="215">
        <v>176.0</v>
      </c>
      <c r="B195" s="221">
        <v>46187.0</v>
      </c>
      <c r="C195" s="222">
        <v>705.18</v>
      </c>
      <c r="D195" s="222" t="s">
        <v>741</v>
      </c>
      <c r="E195" s="212"/>
      <c r="F195" s="220"/>
      <c r="G195" s="222">
        <v>1407.0</v>
      </c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 ht="15.75" customHeight="1">
      <c r="A196" s="215">
        <v>176.0</v>
      </c>
      <c r="B196" s="216">
        <v>46187.0</v>
      </c>
      <c r="C196" s="217">
        <v>22.1</v>
      </c>
      <c r="D196" s="225" t="s">
        <v>660</v>
      </c>
      <c r="E196" s="212"/>
      <c r="F196" s="220"/>
      <c r="G196" s="217">
        <v>1408.0</v>
      </c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 ht="15.75" customHeight="1">
      <c r="A197" s="215">
        <v>176.0</v>
      </c>
      <c r="B197" s="221">
        <v>46187.0</v>
      </c>
      <c r="C197" s="222">
        <v>195.5</v>
      </c>
      <c r="D197" s="222" t="s">
        <v>624</v>
      </c>
      <c r="E197" s="212"/>
      <c r="F197" s="220"/>
      <c r="G197" s="222">
        <v>140626.0</v>
      </c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 ht="15.75" customHeight="1">
      <c r="A198" s="215">
        <v>176.0</v>
      </c>
      <c r="B198" s="216">
        <v>46187.0</v>
      </c>
      <c r="C198" s="217">
        <v>195.5</v>
      </c>
      <c r="D198" s="217" t="s">
        <v>518</v>
      </c>
      <c r="E198" s="212"/>
      <c r="F198" s="220"/>
      <c r="G198" s="217">
        <v>1.4062026E7</v>
      </c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 ht="15.75" customHeight="1">
      <c r="A199" s="215">
        <v>176.0</v>
      </c>
      <c r="B199" s="221">
        <v>46187.0</v>
      </c>
      <c r="C199" s="222">
        <v>195.5</v>
      </c>
      <c r="D199" s="226" t="s">
        <v>447</v>
      </c>
      <c r="E199" s="212"/>
      <c r="F199" s="220"/>
      <c r="G199" s="222">
        <v>1.4062026E7</v>
      </c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 ht="15.75" customHeight="1">
      <c r="A200" s="215">
        <v>176.0</v>
      </c>
      <c r="B200" s="216">
        <v>46187.0</v>
      </c>
      <c r="C200" s="217">
        <v>161.5</v>
      </c>
      <c r="D200" s="225" t="s">
        <v>732</v>
      </c>
      <c r="E200" s="212"/>
      <c r="F200" s="220"/>
      <c r="G200" s="217">
        <v>1.4062026E7</v>
      </c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 ht="15.75" customHeight="1">
      <c r="A201" s="215">
        <v>176.0</v>
      </c>
      <c r="B201" s="221">
        <v>46187.0</v>
      </c>
      <c r="C201" s="222">
        <v>161.5</v>
      </c>
      <c r="D201" s="226" t="s">
        <v>594</v>
      </c>
      <c r="E201" s="212"/>
      <c r="F201" s="220"/>
      <c r="G201" s="222">
        <v>1.4062026E7</v>
      </c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 ht="15.75" customHeight="1">
      <c r="A202" s="215">
        <v>176.0</v>
      </c>
      <c r="B202" s="216">
        <v>46187.0</v>
      </c>
      <c r="C202" s="217">
        <v>195.5</v>
      </c>
      <c r="D202" s="217" t="s">
        <v>731</v>
      </c>
      <c r="E202" s="212"/>
      <c r="F202" s="220"/>
      <c r="G202" s="217">
        <v>1.4062026E7</v>
      </c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 ht="15.75" customHeight="1">
      <c r="A203" s="215">
        <v>176.0</v>
      </c>
      <c r="B203" s="221">
        <v>46186.0</v>
      </c>
      <c r="C203" s="222">
        <v>193.11</v>
      </c>
      <c r="D203" s="226" t="s">
        <v>171</v>
      </c>
      <c r="E203" s="212"/>
      <c r="F203" s="220"/>
      <c r="G203" s="222" t="s">
        <v>809</v>
      </c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 ht="15.75" customHeight="1">
      <c r="A204" s="215">
        <v>176.0</v>
      </c>
      <c r="B204" s="216">
        <v>46186.0</v>
      </c>
      <c r="C204" s="217">
        <v>47.8</v>
      </c>
      <c r="D204" s="225" t="s">
        <v>171</v>
      </c>
      <c r="E204" s="212"/>
      <c r="F204" s="220"/>
      <c r="G204" s="217" t="s">
        <v>810</v>
      </c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 ht="15.75" customHeight="1">
      <c r="A205" s="215">
        <v>176.0</v>
      </c>
      <c r="B205" s="221">
        <v>46186.0</v>
      </c>
      <c r="C205" s="222">
        <v>190.0</v>
      </c>
      <c r="D205" s="226" t="s">
        <v>374</v>
      </c>
      <c r="E205" s="212"/>
      <c r="F205" s="220"/>
      <c r="G205" s="222" t="s">
        <v>811</v>
      </c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 ht="15.75" customHeight="1">
      <c r="A206" s="215">
        <v>176.0</v>
      </c>
      <c r="B206" s="216">
        <v>46186.0</v>
      </c>
      <c r="C206" s="217">
        <v>180.0</v>
      </c>
      <c r="D206" s="217" t="s">
        <v>403</v>
      </c>
      <c r="E206" s="212"/>
      <c r="F206" s="220"/>
      <c r="G206" s="217" t="s">
        <v>811</v>
      </c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 ht="15.75" customHeight="1">
      <c r="A207" s="215">
        <v>176.0</v>
      </c>
      <c r="B207" s="221">
        <v>46186.0</v>
      </c>
      <c r="C207" s="222">
        <v>360.0</v>
      </c>
      <c r="D207" s="222" t="s">
        <v>260</v>
      </c>
      <c r="E207" s="212"/>
      <c r="F207" s="220"/>
      <c r="G207" s="222" t="s">
        <v>812</v>
      </c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 ht="15.75" customHeight="1">
      <c r="A208" s="215">
        <v>176.0</v>
      </c>
      <c r="B208" s="216">
        <v>46186.0</v>
      </c>
      <c r="C208" s="217">
        <v>69.9</v>
      </c>
      <c r="D208" s="225" t="s">
        <v>792</v>
      </c>
      <c r="E208" s="212"/>
      <c r="F208" s="220"/>
      <c r="G208" s="217" t="s">
        <v>813</v>
      </c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 ht="15.75" customHeight="1">
      <c r="A209" s="215">
        <v>176.0</v>
      </c>
      <c r="B209" s="221">
        <v>46186.0</v>
      </c>
      <c r="C209" s="222">
        <v>116.75</v>
      </c>
      <c r="D209" s="222" t="s">
        <v>288</v>
      </c>
      <c r="E209" s="212"/>
      <c r="F209" s="220"/>
      <c r="G209" s="222" t="s">
        <v>814</v>
      </c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 ht="15.75" customHeight="1">
      <c r="A210" s="215">
        <v>176.0</v>
      </c>
      <c r="B210" s="216">
        <v>46186.0</v>
      </c>
      <c r="C210" s="217">
        <v>74.02</v>
      </c>
      <c r="D210" s="225" t="s">
        <v>230</v>
      </c>
      <c r="E210" s="212"/>
      <c r="F210" s="220"/>
      <c r="G210" s="217" t="s">
        <v>815</v>
      </c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 ht="15.75" customHeight="1">
      <c r="A211" s="215">
        <v>176.0</v>
      </c>
      <c r="B211" s="221">
        <v>46186.0</v>
      </c>
      <c r="C211" s="222">
        <v>142.04</v>
      </c>
      <c r="D211" s="222" t="s">
        <v>180</v>
      </c>
      <c r="E211" s="212"/>
      <c r="F211" s="220"/>
      <c r="G211" s="222" t="s">
        <v>738</v>
      </c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 ht="15.75" customHeight="1">
      <c r="A212" s="215">
        <v>176.0</v>
      </c>
      <c r="B212" s="216">
        <v>46185.0</v>
      </c>
      <c r="C212" s="217">
        <v>190.0</v>
      </c>
      <c r="D212" s="218" t="s">
        <v>374</v>
      </c>
      <c r="E212" s="212"/>
      <c r="F212" s="220"/>
      <c r="G212" s="217" t="s">
        <v>816</v>
      </c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 ht="15.75" customHeight="1">
      <c r="A213" s="215">
        <v>176.0</v>
      </c>
      <c r="B213" s="221">
        <v>46185.0</v>
      </c>
      <c r="C213" s="222">
        <v>180.0</v>
      </c>
      <c r="D213" s="222" t="s">
        <v>403</v>
      </c>
      <c r="E213" s="212"/>
      <c r="F213" s="220"/>
      <c r="G213" s="222" t="s">
        <v>816</v>
      </c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 ht="15.75" customHeight="1">
      <c r="A214" s="215">
        <v>176.0</v>
      </c>
      <c r="B214" s="216">
        <v>46185.0</v>
      </c>
      <c r="C214" s="217">
        <v>393.03</v>
      </c>
      <c r="D214" s="225" t="s">
        <v>215</v>
      </c>
      <c r="E214" s="212"/>
      <c r="F214" s="220"/>
      <c r="G214" s="217" t="s">
        <v>817</v>
      </c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ht="15.75" customHeight="1">
      <c r="A215" s="215">
        <v>176.0</v>
      </c>
      <c r="B215" s="221">
        <v>46185.0</v>
      </c>
      <c r="C215" s="222">
        <v>351.12</v>
      </c>
      <c r="D215" s="226" t="s">
        <v>288</v>
      </c>
      <c r="E215" s="212"/>
      <c r="F215" s="220"/>
      <c r="G215" s="222" t="s">
        <v>817</v>
      </c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 ht="15.75" customHeight="1">
      <c r="A216" s="215">
        <v>176.0</v>
      </c>
      <c r="B216" s="216">
        <v>46185.0</v>
      </c>
      <c r="C216" s="217">
        <v>103.83</v>
      </c>
      <c r="D216" s="225" t="s">
        <v>288</v>
      </c>
      <c r="E216" s="212"/>
      <c r="F216" s="220"/>
      <c r="G216" s="217" t="s">
        <v>815</v>
      </c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 ht="15.75" customHeight="1">
      <c r="A217" s="215">
        <v>176.0</v>
      </c>
      <c r="B217" s="221">
        <v>46185.0</v>
      </c>
      <c r="C217" s="222">
        <v>60.0</v>
      </c>
      <c r="D217" s="226" t="s">
        <v>664</v>
      </c>
      <c r="E217" s="212"/>
      <c r="F217" s="220"/>
      <c r="G217" s="222" t="s">
        <v>669</v>
      </c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 ht="15.75" customHeight="1">
      <c r="A218" s="215">
        <v>176.0</v>
      </c>
      <c r="B218" s="216">
        <v>46185.0</v>
      </c>
      <c r="C218" s="217">
        <v>136.0</v>
      </c>
      <c r="D218" s="225" t="s">
        <v>541</v>
      </c>
      <c r="E218" s="212"/>
      <c r="F218" s="220"/>
      <c r="G218" s="217">
        <v>1201.0</v>
      </c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 ht="15.75" customHeight="1">
      <c r="A219" s="215">
        <v>176.0</v>
      </c>
      <c r="B219" s="221">
        <v>46185.0</v>
      </c>
      <c r="C219" s="222">
        <v>170.0</v>
      </c>
      <c r="D219" s="226" t="s">
        <v>475</v>
      </c>
      <c r="E219" s="212"/>
      <c r="F219" s="220"/>
      <c r="G219" s="222">
        <v>1202.0</v>
      </c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 ht="15.75" customHeight="1">
      <c r="A220" s="215">
        <v>176.0</v>
      </c>
      <c r="B220" s="216">
        <v>46185.0</v>
      </c>
      <c r="C220" s="217">
        <v>170.0</v>
      </c>
      <c r="D220" s="225" t="s">
        <v>453</v>
      </c>
      <c r="E220" s="212"/>
      <c r="F220" s="220"/>
      <c r="G220" s="217">
        <v>1203.0</v>
      </c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 ht="15.75" customHeight="1">
      <c r="A221" s="215">
        <v>176.0</v>
      </c>
      <c r="B221" s="221">
        <v>46185.0</v>
      </c>
      <c r="C221" s="222">
        <v>150.0</v>
      </c>
      <c r="D221" s="226" t="s">
        <v>578</v>
      </c>
      <c r="E221" s="212"/>
      <c r="F221" s="220"/>
      <c r="G221" s="222">
        <v>1213.0</v>
      </c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 ht="15.75" customHeight="1">
      <c r="A222" s="215">
        <v>176.0</v>
      </c>
      <c r="B222" s="216">
        <v>46184.0</v>
      </c>
      <c r="C222" s="217">
        <v>190.0</v>
      </c>
      <c r="D222" s="217" t="s">
        <v>374</v>
      </c>
      <c r="E222" s="212"/>
      <c r="F222" s="220"/>
      <c r="G222" s="217" t="s">
        <v>818</v>
      </c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 ht="15.75" customHeight="1">
      <c r="A223" s="215">
        <v>176.0</v>
      </c>
      <c r="B223" s="221">
        <v>46184.0</v>
      </c>
      <c r="C223" s="222">
        <v>210.0</v>
      </c>
      <c r="D223" s="231" t="s">
        <v>403</v>
      </c>
      <c r="E223" s="212"/>
      <c r="F223" s="220"/>
      <c r="G223" s="222" t="s">
        <v>818</v>
      </c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 ht="15.75" customHeight="1">
      <c r="A224" s="215">
        <v>176.0</v>
      </c>
      <c r="B224" s="216">
        <v>46184.0</v>
      </c>
      <c r="C224" s="224">
        <v>1230.84</v>
      </c>
      <c r="D224" s="234" t="s">
        <v>288</v>
      </c>
      <c r="E224" s="212"/>
      <c r="F224" s="220"/>
      <c r="G224" s="217" t="s">
        <v>819</v>
      </c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 ht="15.75" customHeight="1">
      <c r="A225" s="215">
        <v>176.0</v>
      </c>
      <c r="B225" s="221">
        <v>46184.0</v>
      </c>
      <c r="C225" s="222">
        <v>252.15</v>
      </c>
      <c r="D225" s="226" t="s">
        <v>269</v>
      </c>
      <c r="E225" s="212"/>
      <c r="F225" s="220"/>
      <c r="G225" s="222" t="s">
        <v>820</v>
      </c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 ht="15.75" customHeight="1">
      <c r="A226" s="215">
        <v>176.0</v>
      </c>
      <c r="B226" s="216">
        <v>46184.0</v>
      </c>
      <c r="C226" s="217">
        <v>6.53</v>
      </c>
      <c r="D226" s="225" t="s">
        <v>673</v>
      </c>
      <c r="E226" s="212"/>
      <c r="F226" s="220"/>
      <c r="G226" s="217" t="s">
        <v>821</v>
      </c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 ht="15.75" customHeight="1">
      <c r="A227" s="215">
        <v>176.0</v>
      </c>
      <c r="B227" s="221">
        <v>46184.0</v>
      </c>
      <c r="C227" s="222">
        <v>150.0</v>
      </c>
      <c r="D227" s="226" t="s">
        <v>771</v>
      </c>
      <c r="E227" s="212"/>
      <c r="F227" s="220"/>
      <c r="G227" s="222">
        <v>1101.0</v>
      </c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 ht="15.75" customHeight="1">
      <c r="A228" s="215">
        <v>176.0</v>
      </c>
      <c r="B228" s="216">
        <v>46184.0</v>
      </c>
      <c r="C228" s="224">
        <v>3280.05</v>
      </c>
      <c r="D228" s="217" t="s">
        <v>746</v>
      </c>
      <c r="E228" s="212"/>
      <c r="F228" s="220"/>
      <c r="G228" s="217" t="s">
        <v>165</v>
      </c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 ht="15.75" customHeight="1">
      <c r="A229" s="215">
        <v>176.0</v>
      </c>
      <c r="B229" s="221">
        <v>46184.0</v>
      </c>
      <c r="C229" s="227">
        <v>1110.0</v>
      </c>
      <c r="D229" s="222" t="s">
        <v>372</v>
      </c>
      <c r="E229" s="212"/>
      <c r="F229" s="220"/>
      <c r="G229" s="222" t="s">
        <v>822</v>
      </c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 ht="15.75" customHeight="1">
      <c r="A230" s="215">
        <v>176.0</v>
      </c>
      <c r="B230" s="216">
        <v>46184.0</v>
      </c>
      <c r="C230" s="217">
        <v>26.15</v>
      </c>
      <c r="D230" s="217" t="s">
        <v>203</v>
      </c>
      <c r="E230" s="212"/>
      <c r="F230" s="220"/>
      <c r="G230" s="217" t="s">
        <v>204</v>
      </c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 ht="15.75" customHeight="1">
      <c r="A231" s="215">
        <v>176.0</v>
      </c>
      <c r="B231" s="221">
        <v>46184.0</v>
      </c>
      <c r="C231" s="222">
        <v>113.98</v>
      </c>
      <c r="D231" s="222" t="s">
        <v>171</v>
      </c>
      <c r="E231" s="212"/>
      <c r="F231" s="220"/>
      <c r="G231" s="222" t="s">
        <v>823</v>
      </c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 ht="15.75" customHeight="1">
      <c r="A232" s="215">
        <v>176.0</v>
      </c>
      <c r="B232" s="216">
        <v>46184.0</v>
      </c>
      <c r="C232" s="217">
        <v>64.83</v>
      </c>
      <c r="D232" s="225" t="s">
        <v>288</v>
      </c>
      <c r="E232" s="212"/>
      <c r="F232" s="220"/>
      <c r="G232" s="217" t="s">
        <v>824</v>
      </c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 ht="15.75" customHeight="1">
      <c r="A233" s="215">
        <v>176.0</v>
      </c>
      <c r="B233" s="221">
        <v>46184.0</v>
      </c>
      <c r="C233" s="222">
        <v>149.89</v>
      </c>
      <c r="D233" s="222" t="s">
        <v>171</v>
      </c>
      <c r="E233" s="212"/>
      <c r="F233" s="220"/>
      <c r="G233" s="222" t="s">
        <v>259</v>
      </c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 ht="15.75" customHeight="1">
      <c r="A234" s="215">
        <v>176.0</v>
      </c>
      <c r="B234" s="216">
        <v>46184.0</v>
      </c>
      <c r="C234" s="217">
        <v>266.0</v>
      </c>
      <c r="D234" s="225" t="s">
        <v>171</v>
      </c>
      <c r="E234" s="212"/>
      <c r="F234" s="220"/>
      <c r="G234" s="217" t="s">
        <v>259</v>
      </c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 ht="15.75" customHeight="1">
      <c r="A235" s="215">
        <v>176.0</v>
      </c>
      <c r="B235" s="221">
        <v>46184.0</v>
      </c>
      <c r="C235" s="222">
        <v>121.5</v>
      </c>
      <c r="D235" s="226" t="s">
        <v>225</v>
      </c>
      <c r="E235" s="212"/>
      <c r="F235" s="220"/>
      <c r="G235" s="222" t="s">
        <v>259</v>
      </c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 ht="15.75" customHeight="1">
      <c r="A236" s="215">
        <v>176.0</v>
      </c>
      <c r="B236" s="216">
        <v>46184.0</v>
      </c>
      <c r="C236" s="224">
        <v>5845.0</v>
      </c>
      <c r="D236" s="225" t="s">
        <v>656</v>
      </c>
      <c r="E236" s="212"/>
      <c r="F236" s="220"/>
      <c r="G236" s="217">
        <v>1106.0</v>
      </c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 ht="15.75" customHeight="1">
      <c r="A237" s="215">
        <v>176.0</v>
      </c>
      <c r="B237" s="221">
        <v>46184.0</v>
      </c>
      <c r="C237" s="222">
        <v>5.21</v>
      </c>
      <c r="D237" s="226" t="s">
        <v>673</v>
      </c>
      <c r="E237" s="212"/>
      <c r="F237" s="220"/>
      <c r="G237" s="222" t="s">
        <v>357</v>
      </c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 ht="15.75" customHeight="1">
      <c r="A238" s="215">
        <v>176.0</v>
      </c>
      <c r="B238" s="216">
        <v>46184.0</v>
      </c>
      <c r="C238" s="217">
        <v>150.0</v>
      </c>
      <c r="D238" s="225" t="s">
        <v>771</v>
      </c>
      <c r="E238" s="212"/>
      <c r="F238" s="220"/>
      <c r="G238" s="217">
        <v>1102.0</v>
      </c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 ht="15.75" customHeight="1">
      <c r="A239" s="215">
        <v>176.0</v>
      </c>
      <c r="B239" s="221">
        <v>46184.0</v>
      </c>
      <c r="C239" s="222">
        <v>102.0</v>
      </c>
      <c r="D239" s="226" t="s">
        <v>475</v>
      </c>
      <c r="E239" s="212"/>
      <c r="F239" s="220"/>
      <c r="G239" s="222">
        <v>1104.0</v>
      </c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ht="15.75" customHeight="1">
      <c r="A240" s="215">
        <v>176.0</v>
      </c>
      <c r="B240" s="216">
        <v>46184.0</v>
      </c>
      <c r="C240" s="217">
        <v>102.0</v>
      </c>
      <c r="D240" s="225" t="s">
        <v>541</v>
      </c>
      <c r="E240" s="212"/>
      <c r="F240" s="220"/>
      <c r="G240" s="217">
        <v>1105.0</v>
      </c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 ht="15.75" customHeight="1">
      <c r="A241" s="215">
        <v>176.0</v>
      </c>
      <c r="B241" s="221">
        <v>46184.0</v>
      </c>
      <c r="C241" s="222">
        <v>100.0</v>
      </c>
      <c r="D241" s="226" t="s">
        <v>541</v>
      </c>
      <c r="E241" s="212"/>
      <c r="F241" s="220"/>
      <c r="G241" s="222">
        <v>1106.0</v>
      </c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 ht="15.75" customHeight="1">
      <c r="A242" s="215">
        <v>176.0</v>
      </c>
      <c r="B242" s="216">
        <v>46184.0</v>
      </c>
      <c r="C242" s="217">
        <v>178.5</v>
      </c>
      <c r="D242" s="225" t="s">
        <v>711</v>
      </c>
      <c r="E242" s="212"/>
      <c r="F242" s="220"/>
      <c r="G242" s="217">
        <v>1107.0</v>
      </c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 ht="15.75" customHeight="1">
      <c r="A243" s="215">
        <v>176.0</v>
      </c>
      <c r="B243" s="221">
        <v>46184.0</v>
      </c>
      <c r="C243" s="222">
        <v>178.5</v>
      </c>
      <c r="D243" s="226" t="s">
        <v>447</v>
      </c>
      <c r="E243" s="212"/>
      <c r="F243" s="220"/>
      <c r="G243" s="222">
        <v>1108.0</v>
      </c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 ht="15.75" customHeight="1">
      <c r="A244" s="215">
        <v>176.0</v>
      </c>
      <c r="B244" s="216">
        <v>46184.0</v>
      </c>
      <c r="C244" s="217">
        <v>178.5</v>
      </c>
      <c r="D244" s="225" t="s">
        <v>624</v>
      </c>
      <c r="E244" s="212"/>
      <c r="F244" s="220"/>
      <c r="G244" s="217">
        <v>1108.0</v>
      </c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 ht="15.75" customHeight="1">
      <c r="A245" s="215">
        <v>176.0</v>
      </c>
      <c r="B245" s="221">
        <v>46184.0</v>
      </c>
      <c r="C245" s="222">
        <v>102.0</v>
      </c>
      <c r="D245" s="226" t="s">
        <v>805</v>
      </c>
      <c r="E245" s="212"/>
      <c r="F245" s="220"/>
      <c r="G245" s="222">
        <v>1109.0</v>
      </c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 ht="15.75" customHeight="1">
      <c r="A246" s="215">
        <v>176.0</v>
      </c>
      <c r="B246" s="216">
        <v>46184.0</v>
      </c>
      <c r="C246" s="217">
        <v>102.0</v>
      </c>
      <c r="D246" s="217" t="s">
        <v>825</v>
      </c>
      <c r="E246" s="212"/>
      <c r="F246" s="220"/>
      <c r="G246" s="217">
        <v>1113.0</v>
      </c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 ht="15.75" customHeight="1">
      <c r="A247" s="215">
        <v>176.0</v>
      </c>
      <c r="B247" s="221">
        <v>46183.0</v>
      </c>
      <c r="C247" s="222">
        <v>190.0</v>
      </c>
      <c r="D247" s="226" t="s">
        <v>374</v>
      </c>
      <c r="E247" s="212"/>
      <c r="F247" s="220"/>
      <c r="G247" s="222" t="s">
        <v>826</v>
      </c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 ht="15.75" customHeight="1">
      <c r="A248" s="215">
        <v>176.0</v>
      </c>
      <c r="B248" s="216">
        <v>46183.0</v>
      </c>
      <c r="C248" s="217">
        <v>210.0</v>
      </c>
      <c r="D248" s="225" t="s">
        <v>403</v>
      </c>
      <c r="E248" s="212"/>
      <c r="F248" s="220"/>
      <c r="G248" s="217" t="s">
        <v>826</v>
      </c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 ht="15.75" customHeight="1">
      <c r="A249" s="215">
        <v>176.0</v>
      </c>
      <c r="B249" s="221">
        <v>46183.0</v>
      </c>
      <c r="C249" s="222">
        <v>100.0</v>
      </c>
      <c r="D249" s="226" t="s">
        <v>664</v>
      </c>
      <c r="E249" s="212"/>
      <c r="F249" s="220"/>
      <c r="G249" s="222" t="s">
        <v>669</v>
      </c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 ht="15.75" customHeight="1">
      <c r="A250" s="215">
        <v>176.0</v>
      </c>
      <c r="B250" s="216">
        <v>46183.0</v>
      </c>
      <c r="C250" s="217">
        <v>219.84</v>
      </c>
      <c r="D250" s="225" t="s">
        <v>288</v>
      </c>
      <c r="E250" s="212"/>
      <c r="F250" s="220"/>
      <c r="G250" s="217" t="s">
        <v>827</v>
      </c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 ht="15.75" customHeight="1">
      <c r="A251" s="215">
        <v>176.0</v>
      </c>
      <c r="B251" s="221">
        <v>46183.0</v>
      </c>
      <c r="C251" s="222">
        <v>125.82</v>
      </c>
      <c r="D251" s="226" t="s">
        <v>741</v>
      </c>
      <c r="E251" s="212"/>
      <c r="F251" s="220"/>
      <c r="G251" s="222" t="s">
        <v>828</v>
      </c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 ht="15.75" customHeight="1">
      <c r="A252" s="215">
        <v>176.0</v>
      </c>
      <c r="B252" s="216">
        <v>46183.0</v>
      </c>
      <c r="C252" s="217">
        <v>296.09</v>
      </c>
      <c r="D252" s="217" t="s">
        <v>215</v>
      </c>
      <c r="E252" s="212"/>
      <c r="F252" s="220"/>
      <c r="G252" s="217" t="s">
        <v>829</v>
      </c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 ht="15.75" customHeight="1">
      <c r="A253" s="215">
        <v>176.0</v>
      </c>
      <c r="B253" s="221">
        <v>46183.0</v>
      </c>
      <c r="C253" s="222">
        <v>93.0</v>
      </c>
      <c r="D253" s="222" t="s">
        <v>267</v>
      </c>
      <c r="E253" s="212"/>
      <c r="F253" s="220"/>
      <c r="G253" s="222" t="s">
        <v>830</v>
      </c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 ht="15.75" customHeight="1">
      <c r="A254" s="215">
        <v>176.0</v>
      </c>
      <c r="B254" s="216">
        <v>46183.0</v>
      </c>
      <c r="C254" s="217">
        <v>476.7</v>
      </c>
      <c r="D254" s="217" t="s">
        <v>349</v>
      </c>
      <c r="E254" s="212"/>
      <c r="F254" s="220"/>
      <c r="G254" s="217" t="s">
        <v>831</v>
      </c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 ht="15.75" customHeight="1">
      <c r="A255" s="215">
        <v>176.0</v>
      </c>
      <c r="B255" s="221">
        <v>46183.0</v>
      </c>
      <c r="C255" s="227">
        <v>6546.3</v>
      </c>
      <c r="D255" s="222" t="s">
        <v>354</v>
      </c>
      <c r="E255" s="212"/>
      <c r="F255" s="220"/>
      <c r="G255" s="222">
        <v>10091.0</v>
      </c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 ht="15.75" customHeight="1">
      <c r="A256" s="215">
        <v>176.0</v>
      </c>
      <c r="B256" s="216">
        <v>46183.0</v>
      </c>
      <c r="C256" s="217">
        <v>195.5</v>
      </c>
      <c r="D256" s="225" t="s">
        <v>719</v>
      </c>
      <c r="E256" s="212"/>
      <c r="F256" s="220"/>
      <c r="G256" s="217">
        <v>1001.0</v>
      </c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 ht="15.75" customHeight="1">
      <c r="A257" s="215">
        <v>176.0</v>
      </c>
      <c r="B257" s="221">
        <v>46183.0</v>
      </c>
      <c r="C257" s="222">
        <v>66.0</v>
      </c>
      <c r="D257" s="226" t="s">
        <v>267</v>
      </c>
      <c r="E257" s="212"/>
      <c r="F257" s="220"/>
      <c r="G257" s="222" t="s">
        <v>830</v>
      </c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 ht="15.75" customHeight="1">
      <c r="A258" s="215">
        <v>176.0</v>
      </c>
      <c r="B258" s="216">
        <v>46183.0</v>
      </c>
      <c r="C258" s="217">
        <v>170.0</v>
      </c>
      <c r="D258" s="217" t="s">
        <v>541</v>
      </c>
      <c r="E258" s="212"/>
      <c r="F258" s="220"/>
      <c r="G258" s="217">
        <v>1002.0</v>
      </c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 ht="15.75" customHeight="1">
      <c r="A259" s="215">
        <v>176.0</v>
      </c>
      <c r="B259" s="221">
        <v>46183.0</v>
      </c>
      <c r="C259" s="222">
        <v>229.5</v>
      </c>
      <c r="D259" s="223" t="s">
        <v>604</v>
      </c>
      <c r="E259" s="212"/>
      <c r="F259" s="220"/>
      <c r="G259" s="222">
        <v>1003.0</v>
      </c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 ht="15.75" customHeight="1">
      <c r="A260" s="215">
        <v>176.0</v>
      </c>
      <c r="B260" s="216">
        <v>46183.0</v>
      </c>
      <c r="C260" s="217">
        <v>170.0</v>
      </c>
      <c r="D260" s="225" t="s">
        <v>526</v>
      </c>
      <c r="E260" s="212"/>
      <c r="F260" s="220"/>
      <c r="G260" s="217">
        <v>1005.0</v>
      </c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 ht="15.75" customHeight="1">
      <c r="A261" s="215">
        <v>176.0</v>
      </c>
      <c r="B261" s="221">
        <v>46183.0</v>
      </c>
      <c r="C261" s="222">
        <v>119.0</v>
      </c>
      <c r="D261" s="222" t="s">
        <v>475</v>
      </c>
      <c r="E261" s="212"/>
      <c r="F261" s="220"/>
      <c r="G261" s="222">
        <v>1005.0</v>
      </c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15.75" customHeight="1">
      <c r="A262" s="215">
        <v>176.0</v>
      </c>
      <c r="B262" s="216">
        <v>46183.0</v>
      </c>
      <c r="C262" s="217">
        <v>170.0</v>
      </c>
      <c r="D262" s="217" t="s">
        <v>451</v>
      </c>
      <c r="E262" s="212"/>
      <c r="F262" s="220"/>
      <c r="G262" s="217">
        <v>1007.0</v>
      </c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15.75" customHeight="1">
      <c r="A263" s="215">
        <v>176.0</v>
      </c>
      <c r="B263" s="221">
        <v>46183.0</v>
      </c>
      <c r="C263" s="222">
        <v>177.5</v>
      </c>
      <c r="D263" s="222" t="s">
        <v>557</v>
      </c>
      <c r="E263" s="212"/>
      <c r="F263" s="220"/>
      <c r="G263" s="222">
        <v>1008.0</v>
      </c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15.75" customHeight="1">
      <c r="A264" s="215">
        <v>176.0</v>
      </c>
      <c r="B264" s="216">
        <v>46183.0</v>
      </c>
      <c r="C264" s="217">
        <v>89.79</v>
      </c>
      <c r="D264" s="217" t="s">
        <v>288</v>
      </c>
      <c r="E264" s="212"/>
      <c r="F264" s="220"/>
      <c r="G264" s="217" t="s">
        <v>832</v>
      </c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15.75" customHeight="1">
      <c r="A265" s="215">
        <v>176.0</v>
      </c>
      <c r="B265" s="221">
        <v>46183.0</v>
      </c>
      <c r="C265" s="222">
        <v>130.0</v>
      </c>
      <c r="D265" s="222" t="s">
        <v>833</v>
      </c>
      <c r="E265" s="212"/>
      <c r="F265" s="220"/>
      <c r="G265" s="222" t="s">
        <v>834</v>
      </c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15.75" customHeight="1">
      <c r="A266" s="215">
        <v>176.0</v>
      </c>
      <c r="B266" s="216">
        <v>46182.0</v>
      </c>
      <c r="C266" s="217">
        <v>190.0</v>
      </c>
      <c r="D266" s="217" t="s">
        <v>374</v>
      </c>
      <c r="E266" s="212"/>
      <c r="F266" s="220"/>
      <c r="G266" s="217" t="s">
        <v>376</v>
      </c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15.75" customHeight="1">
      <c r="A267" s="215">
        <v>176.0</v>
      </c>
      <c r="B267" s="221">
        <v>46182.0</v>
      </c>
      <c r="C267" s="222">
        <v>160.0</v>
      </c>
      <c r="D267" s="222" t="s">
        <v>713</v>
      </c>
      <c r="E267" s="212"/>
      <c r="F267" s="220"/>
      <c r="G267" s="222" t="s">
        <v>376</v>
      </c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 ht="15.75" customHeight="1">
      <c r="A268" s="215">
        <v>176.0</v>
      </c>
      <c r="B268" s="216">
        <v>46182.0</v>
      </c>
      <c r="C268" s="217">
        <v>180.0</v>
      </c>
      <c r="D268" s="217" t="s">
        <v>403</v>
      </c>
      <c r="E268" s="212"/>
      <c r="F268" s="220"/>
      <c r="G268" s="217" t="s">
        <v>376</v>
      </c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 ht="15.75" customHeight="1">
      <c r="A269" s="215">
        <v>176.0</v>
      </c>
      <c r="B269" s="221">
        <v>46182.0</v>
      </c>
      <c r="C269" s="222">
        <v>487.34</v>
      </c>
      <c r="D269" s="226" t="s">
        <v>288</v>
      </c>
      <c r="E269" s="212"/>
      <c r="F269" s="220"/>
      <c r="G269" s="222" t="s">
        <v>835</v>
      </c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</row>
    <row r="270" ht="15.75" customHeight="1">
      <c r="A270" s="215">
        <v>176.0</v>
      </c>
      <c r="B270" s="216">
        <v>46182.0</v>
      </c>
      <c r="C270" s="217">
        <v>235.51</v>
      </c>
      <c r="D270" s="217" t="s">
        <v>344</v>
      </c>
      <c r="E270" s="212"/>
      <c r="F270" s="220"/>
      <c r="G270" s="217" t="s">
        <v>836</v>
      </c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 ht="15.75" customHeight="1">
      <c r="A271" s="215">
        <v>176.0</v>
      </c>
      <c r="B271" s="221">
        <v>46182.0</v>
      </c>
      <c r="C271" s="222">
        <v>170.0</v>
      </c>
      <c r="D271" s="223" t="s">
        <v>541</v>
      </c>
      <c r="E271" s="212"/>
      <c r="F271" s="220"/>
      <c r="G271" s="222">
        <v>908.0</v>
      </c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 ht="15.75" customHeight="1">
      <c r="A272" s="215">
        <v>176.0</v>
      </c>
      <c r="B272" s="216">
        <v>46182.0</v>
      </c>
      <c r="C272" s="217">
        <v>170.0</v>
      </c>
      <c r="D272" s="217" t="s">
        <v>453</v>
      </c>
      <c r="E272" s="212"/>
      <c r="F272" s="220"/>
      <c r="G272" s="217">
        <v>909.0</v>
      </c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 ht="15.75" customHeight="1">
      <c r="A273" s="215">
        <v>176.0</v>
      </c>
      <c r="B273" s="221">
        <v>46182.0</v>
      </c>
      <c r="C273" s="222">
        <v>275.0</v>
      </c>
      <c r="D273" s="226" t="s">
        <v>723</v>
      </c>
      <c r="E273" s="212"/>
      <c r="F273" s="220"/>
      <c r="G273" s="222">
        <v>909.0</v>
      </c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 ht="15.75" customHeight="1">
      <c r="A274" s="215">
        <v>176.0</v>
      </c>
      <c r="B274" s="216">
        <v>46182.0</v>
      </c>
      <c r="C274" s="217">
        <v>225.89</v>
      </c>
      <c r="D274" s="225" t="s">
        <v>288</v>
      </c>
      <c r="E274" s="212"/>
      <c r="F274" s="220"/>
      <c r="G274" s="217" t="s">
        <v>829</v>
      </c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 ht="15.75" customHeight="1">
      <c r="A275" s="215">
        <v>176.0</v>
      </c>
      <c r="B275" s="221">
        <v>46182.0</v>
      </c>
      <c r="C275" s="222">
        <v>150.0</v>
      </c>
      <c r="D275" s="226" t="s">
        <v>439</v>
      </c>
      <c r="E275" s="212"/>
      <c r="F275" s="220"/>
      <c r="G275" s="222" t="s">
        <v>437</v>
      </c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 ht="15.75" customHeight="1">
      <c r="A276" s="215">
        <v>176.0</v>
      </c>
      <c r="B276" s="216">
        <v>46182.0</v>
      </c>
      <c r="C276" s="217">
        <v>150.0</v>
      </c>
      <c r="D276" s="217" t="s">
        <v>837</v>
      </c>
      <c r="E276" s="212"/>
      <c r="F276" s="220"/>
      <c r="G276" s="217" t="s">
        <v>437</v>
      </c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 ht="15.75" customHeight="1">
      <c r="A277" s="215">
        <v>176.0</v>
      </c>
      <c r="B277" s="221">
        <v>46181.0</v>
      </c>
      <c r="C277" s="227">
        <v>1897.35</v>
      </c>
      <c r="D277" s="226" t="s">
        <v>288</v>
      </c>
      <c r="E277" s="212"/>
      <c r="F277" s="220"/>
      <c r="G277" s="222" t="s">
        <v>838</v>
      </c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 ht="15.75" customHeight="1">
      <c r="A278" s="215">
        <v>176.0</v>
      </c>
      <c r="B278" s="216">
        <v>46181.0</v>
      </c>
      <c r="C278" s="224">
        <v>3088.81</v>
      </c>
      <c r="D278" s="225" t="s">
        <v>189</v>
      </c>
      <c r="E278" s="212"/>
      <c r="F278" s="220"/>
      <c r="G278" s="217" t="s">
        <v>839</v>
      </c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 ht="15.75" customHeight="1">
      <c r="A279" s="215">
        <v>176.0</v>
      </c>
      <c r="B279" s="221">
        <v>46181.0</v>
      </c>
      <c r="C279" s="222">
        <v>980.0</v>
      </c>
      <c r="D279" s="222" t="s">
        <v>349</v>
      </c>
      <c r="E279" s="212"/>
      <c r="F279" s="220"/>
      <c r="G279" s="222" t="s">
        <v>839</v>
      </c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 ht="15.75" customHeight="1">
      <c r="A280" s="215">
        <v>176.0</v>
      </c>
      <c r="B280" s="216">
        <v>46181.0</v>
      </c>
      <c r="C280" s="224">
        <v>1796.5</v>
      </c>
      <c r="D280" s="217" t="s">
        <v>155</v>
      </c>
      <c r="E280" s="212"/>
      <c r="F280" s="220"/>
      <c r="G280" s="217">
        <v>806.0</v>
      </c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 ht="15.75" customHeight="1">
      <c r="A281" s="215">
        <v>176.0</v>
      </c>
      <c r="B281" s="221">
        <v>46181.0</v>
      </c>
      <c r="C281" s="222">
        <v>102.84</v>
      </c>
      <c r="D281" s="226" t="s">
        <v>344</v>
      </c>
      <c r="E281" s="212"/>
      <c r="F281" s="220"/>
      <c r="G281" s="222" t="s">
        <v>840</v>
      </c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 ht="15.75" customHeight="1">
      <c r="A282" s="215">
        <v>176.0</v>
      </c>
      <c r="B282" s="216">
        <v>46181.0</v>
      </c>
      <c r="C282" s="217">
        <v>57.0</v>
      </c>
      <c r="D282" s="225" t="s">
        <v>841</v>
      </c>
      <c r="E282" s="212"/>
      <c r="F282" s="220"/>
      <c r="G282" s="217">
        <v>10607.0</v>
      </c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</row>
    <row r="283" ht="15.75" customHeight="1">
      <c r="A283" s="215">
        <v>176.0</v>
      </c>
      <c r="B283" s="221">
        <v>46180.0</v>
      </c>
      <c r="C283" s="222">
        <v>269.99</v>
      </c>
      <c r="D283" s="226" t="s">
        <v>215</v>
      </c>
      <c r="E283" s="212"/>
      <c r="F283" s="220"/>
      <c r="G283" s="222" t="s">
        <v>739</v>
      </c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 ht="15.75" customHeight="1">
      <c r="A284" s="215">
        <v>176.0</v>
      </c>
      <c r="B284" s="216">
        <v>46179.0</v>
      </c>
      <c r="C284" s="217">
        <v>144.5</v>
      </c>
      <c r="D284" s="225" t="s">
        <v>557</v>
      </c>
      <c r="E284" s="212"/>
      <c r="F284" s="220"/>
      <c r="G284" s="217">
        <v>601.0</v>
      </c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 ht="15.75" customHeight="1">
      <c r="A285" s="215">
        <v>176.0</v>
      </c>
      <c r="B285" s="221">
        <v>46179.0</v>
      </c>
      <c r="C285" s="222">
        <v>144.5</v>
      </c>
      <c r="D285" s="222" t="s">
        <v>719</v>
      </c>
      <c r="E285" s="212"/>
      <c r="F285" s="220"/>
      <c r="G285" s="222">
        <v>603.0</v>
      </c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>
      <c r="A286" s="215">
        <v>176.0</v>
      </c>
      <c r="B286" s="216">
        <v>46179.0</v>
      </c>
      <c r="C286" s="217">
        <v>225.0</v>
      </c>
      <c r="D286" s="217" t="s">
        <v>374</v>
      </c>
      <c r="E286" s="212"/>
      <c r="F286" s="220"/>
      <c r="G286" s="217" t="s">
        <v>842</v>
      </c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>
      <c r="A287" s="215">
        <v>176.0</v>
      </c>
      <c r="B287" s="221">
        <v>46179.0</v>
      </c>
      <c r="C287" s="222">
        <v>250.0</v>
      </c>
      <c r="D287" s="222" t="s">
        <v>403</v>
      </c>
      <c r="E287" s="212"/>
      <c r="F287" s="220"/>
      <c r="G287" s="222" t="s">
        <v>843</v>
      </c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 ht="15.75" customHeight="1">
      <c r="A288" s="215">
        <v>176.0</v>
      </c>
      <c r="B288" s="216">
        <v>46179.0</v>
      </c>
      <c r="C288" s="217">
        <v>150.0</v>
      </c>
      <c r="D288" s="217" t="s">
        <v>844</v>
      </c>
      <c r="E288" s="212"/>
      <c r="F288" s="220"/>
      <c r="G288" s="217" t="s">
        <v>845</v>
      </c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 ht="15.75" customHeight="1">
      <c r="A289" s="215">
        <v>176.0</v>
      </c>
      <c r="B289" s="221">
        <v>46179.0</v>
      </c>
      <c r="C289" s="222">
        <v>153.0</v>
      </c>
      <c r="D289" s="226" t="s">
        <v>846</v>
      </c>
      <c r="E289" s="212"/>
      <c r="F289" s="220"/>
      <c r="G289" s="222">
        <v>603.0</v>
      </c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 ht="15.75" customHeight="1">
      <c r="A290" s="215">
        <v>176.0</v>
      </c>
      <c r="B290" s="216">
        <v>46179.0</v>
      </c>
      <c r="C290" s="217">
        <v>170.0</v>
      </c>
      <c r="D290" s="217" t="s">
        <v>594</v>
      </c>
      <c r="E290" s="212"/>
      <c r="F290" s="220"/>
      <c r="G290" s="217">
        <v>604.0</v>
      </c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 ht="15.75" customHeight="1">
      <c r="A291" s="215">
        <v>176.0</v>
      </c>
      <c r="B291" s="221">
        <v>46179.0</v>
      </c>
      <c r="C291" s="222">
        <v>187.0</v>
      </c>
      <c r="D291" s="226" t="s">
        <v>847</v>
      </c>
      <c r="E291" s="212"/>
      <c r="F291" s="220"/>
      <c r="G291" s="222">
        <v>605.0</v>
      </c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 ht="15.75" customHeight="1">
      <c r="A292" s="215">
        <v>176.0</v>
      </c>
      <c r="B292" s="216">
        <v>46179.0</v>
      </c>
      <c r="C292" s="217">
        <v>187.0</v>
      </c>
      <c r="D292" s="229" t="s">
        <v>461</v>
      </c>
      <c r="E292" s="212"/>
      <c r="F292" s="220"/>
      <c r="G292" s="217">
        <v>606.0</v>
      </c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 ht="15.75" customHeight="1">
      <c r="A293" s="215">
        <v>176.0</v>
      </c>
      <c r="B293" s="221">
        <v>46179.0</v>
      </c>
      <c r="C293" s="222">
        <v>204.0</v>
      </c>
      <c r="D293" s="226" t="s">
        <v>624</v>
      </c>
      <c r="E293" s="212"/>
      <c r="F293" s="220"/>
      <c r="G293" s="226">
        <v>608.0</v>
      </c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 ht="15.75" customHeight="1">
      <c r="A294" s="215">
        <v>176.0</v>
      </c>
      <c r="B294" s="216">
        <v>46179.0</v>
      </c>
      <c r="C294" s="217">
        <v>161.5</v>
      </c>
      <c r="D294" s="225" t="s">
        <v>533</v>
      </c>
      <c r="E294" s="212"/>
      <c r="F294" s="220"/>
      <c r="G294" s="217">
        <v>609.0</v>
      </c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 ht="15.75" customHeight="1">
      <c r="A295" s="215">
        <v>176.0</v>
      </c>
      <c r="B295" s="221">
        <v>46179.0</v>
      </c>
      <c r="C295" s="222">
        <v>194.5</v>
      </c>
      <c r="D295" s="222" t="s">
        <v>526</v>
      </c>
      <c r="E295" s="212"/>
      <c r="F295" s="220"/>
      <c r="G295" s="222">
        <v>610.0</v>
      </c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 ht="15.75" customHeight="1">
      <c r="A296" s="215">
        <v>176.0</v>
      </c>
      <c r="B296" s="216">
        <v>46179.0</v>
      </c>
      <c r="C296" s="217">
        <v>194.5</v>
      </c>
      <c r="D296" s="217" t="s">
        <v>848</v>
      </c>
      <c r="E296" s="212"/>
      <c r="F296" s="220"/>
      <c r="G296" s="217">
        <v>610.0</v>
      </c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 ht="15.75" customHeight="1">
      <c r="A297" s="215">
        <v>176.0</v>
      </c>
      <c r="B297" s="221">
        <v>46179.0</v>
      </c>
      <c r="C297" s="222">
        <v>180.0</v>
      </c>
      <c r="D297" s="223" t="s">
        <v>483</v>
      </c>
      <c r="E297" s="212"/>
      <c r="F297" s="220"/>
      <c r="G297" s="222">
        <v>611.0</v>
      </c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 ht="15.75" customHeight="1">
      <c r="A298" s="215">
        <v>176.0</v>
      </c>
      <c r="B298" s="216">
        <v>46179.0</v>
      </c>
      <c r="C298" s="217">
        <v>186.0</v>
      </c>
      <c r="D298" s="225" t="s">
        <v>721</v>
      </c>
      <c r="E298" s="212"/>
      <c r="F298" s="220"/>
      <c r="G298" s="225">
        <v>611.0</v>
      </c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 ht="15.75" customHeight="1">
      <c r="A299" s="215">
        <v>176.0</v>
      </c>
      <c r="B299" s="221">
        <v>46179.0</v>
      </c>
      <c r="C299" s="222">
        <v>194.5</v>
      </c>
      <c r="D299" s="226" t="s">
        <v>475</v>
      </c>
      <c r="E299" s="212"/>
      <c r="F299" s="220"/>
      <c r="G299" s="222">
        <v>612.0</v>
      </c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 ht="15.75" customHeight="1">
      <c r="A300" s="215">
        <v>176.0</v>
      </c>
      <c r="B300" s="216">
        <v>46179.0</v>
      </c>
      <c r="C300" s="217">
        <v>186.0</v>
      </c>
      <c r="D300" s="235" t="s">
        <v>541</v>
      </c>
      <c r="E300" s="212"/>
      <c r="F300" s="220"/>
      <c r="G300" s="217">
        <v>613.0</v>
      </c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 ht="15.75" customHeight="1">
      <c r="A301" s="215">
        <v>176.0</v>
      </c>
      <c r="B301" s="221">
        <v>46179.0</v>
      </c>
      <c r="C301" s="222">
        <v>217.31</v>
      </c>
      <c r="D301" s="226" t="s">
        <v>288</v>
      </c>
      <c r="E301" s="212"/>
      <c r="F301" s="220"/>
      <c r="G301" s="222" t="s">
        <v>849</v>
      </c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 ht="15.75" customHeight="1">
      <c r="A302" s="215">
        <v>176.0</v>
      </c>
      <c r="B302" s="216">
        <v>46179.0</v>
      </c>
      <c r="C302" s="217">
        <v>19.95</v>
      </c>
      <c r="D302" s="217" t="s">
        <v>276</v>
      </c>
      <c r="E302" s="212"/>
      <c r="F302" s="220"/>
      <c r="G302" s="217" t="s">
        <v>850</v>
      </c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 ht="15.75" customHeight="1">
      <c r="A303" s="215">
        <v>176.0</v>
      </c>
      <c r="B303" s="221">
        <v>46179.0</v>
      </c>
      <c r="C303" s="222">
        <v>96.0</v>
      </c>
      <c r="D303" s="226" t="s">
        <v>155</v>
      </c>
      <c r="E303" s="212"/>
      <c r="F303" s="220"/>
      <c r="G303" s="222" t="s">
        <v>851</v>
      </c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 ht="15.75" customHeight="1">
      <c r="A304" s="215">
        <v>176.0</v>
      </c>
      <c r="B304" s="216">
        <v>46179.0</v>
      </c>
      <c r="C304" s="217">
        <v>10.98</v>
      </c>
      <c r="D304" s="217" t="s">
        <v>673</v>
      </c>
      <c r="E304" s="212"/>
      <c r="F304" s="220"/>
      <c r="G304" s="217" t="s">
        <v>852</v>
      </c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 ht="15.75" customHeight="1">
      <c r="A305" s="215">
        <v>176.0</v>
      </c>
      <c r="B305" s="221">
        <v>46179.0</v>
      </c>
      <c r="C305" s="222">
        <v>170.0</v>
      </c>
      <c r="D305" s="222" t="s">
        <v>624</v>
      </c>
      <c r="E305" s="212"/>
      <c r="F305" s="220"/>
      <c r="G305" s="222">
        <v>616.0</v>
      </c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 ht="15.75" customHeight="1">
      <c r="A306" s="215">
        <v>176.0</v>
      </c>
      <c r="B306" s="216">
        <v>46179.0</v>
      </c>
      <c r="C306" s="217">
        <v>153.0</v>
      </c>
      <c r="D306" s="218" t="s">
        <v>557</v>
      </c>
      <c r="E306" s="212"/>
      <c r="F306" s="220"/>
      <c r="G306" s="217">
        <v>617.0</v>
      </c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 ht="15.75" customHeight="1">
      <c r="A307" s="215">
        <v>176.0</v>
      </c>
      <c r="B307" s="221">
        <v>46179.0</v>
      </c>
      <c r="C307" s="222">
        <v>153.0</v>
      </c>
      <c r="D307" s="226" t="s">
        <v>541</v>
      </c>
      <c r="E307" s="212"/>
      <c r="F307" s="220"/>
      <c r="G307" s="222">
        <v>619.0</v>
      </c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 ht="15.75" customHeight="1">
      <c r="A308" s="215">
        <v>176.0</v>
      </c>
      <c r="B308" s="216">
        <v>46179.0</v>
      </c>
      <c r="C308" s="217">
        <v>153.0</v>
      </c>
      <c r="D308" s="217" t="s">
        <v>483</v>
      </c>
      <c r="E308" s="212"/>
      <c r="F308" s="220"/>
      <c r="G308" s="217">
        <v>619.0</v>
      </c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 ht="15.75" customHeight="1">
      <c r="A309" s="215">
        <v>176.0</v>
      </c>
      <c r="B309" s="221">
        <v>46179.0</v>
      </c>
      <c r="C309" s="222">
        <v>170.0</v>
      </c>
      <c r="D309" s="226" t="s">
        <v>594</v>
      </c>
      <c r="E309" s="212"/>
      <c r="F309" s="220"/>
      <c r="G309" s="222">
        <v>620.0</v>
      </c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 ht="15.75" customHeight="1">
      <c r="A310" s="215">
        <v>176.0</v>
      </c>
      <c r="B310" s="216">
        <v>46179.0</v>
      </c>
      <c r="C310" s="217">
        <v>150.0</v>
      </c>
      <c r="D310" s="217" t="s">
        <v>853</v>
      </c>
      <c r="E310" s="212"/>
      <c r="F310" s="220"/>
      <c r="G310" s="217" t="s">
        <v>854</v>
      </c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 ht="15.75" customHeight="1">
      <c r="A311" s="215">
        <v>176.0</v>
      </c>
      <c r="B311" s="221">
        <v>46179.0</v>
      </c>
      <c r="C311" s="222">
        <v>150.0</v>
      </c>
      <c r="D311" s="223" t="s">
        <v>855</v>
      </c>
      <c r="E311" s="212"/>
      <c r="F311" s="220"/>
      <c r="G311" s="222" t="s">
        <v>854</v>
      </c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 ht="15.75" customHeight="1">
      <c r="A312" s="215">
        <v>176.0</v>
      </c>
      <c r="B312" s="216">
        <v>46179.0</v>
      </c>
      <c r="C312" s="217">
        <v>190.0</v>
      </c>
      <c r="D312" s="225" t="s">
        <v>374</v>
      </c>
      <c r="E312" s="212"/>
      <c r="F312" s="220"/>
      <c r="G312" s="217" t="s">
        <v>376</v>
      </c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 ht="15.75" customHeight="1">
      <c r="A313" s="215">
        <v>176.0</v>
      </c>
      <c r="B313" s="221">
        <v>46179.0</v>
      </c>
      <c r="C313" s="222">
        <v>220.0</v>
      </c>
      <c r="D313" s="222" t="s">
        <v>403</v>
      </c>
      <c r="E313" s="212"/>
      <c r="F313" s="220"/>
      <c r="G313" s="222" t="s">
        <v>376</v>
      </c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 ht="15.75" customHeight="1">
      <c r="A314" s="215">
        <v>176.0</v>
      </c>
      <c r="B314" s="216">
        <v>46179.0</v>
      </c>
      <c r="C314" s="217">
        <v>10.26</v>
      </c>
      <c r="D314" s="225" t="s">
        <v>673</v>
      </c>
      <c r="E314" s="212"/>
      <c r="F314" s="220"/>
      <c r="G314" s="217" t="s">
        <v>856</v>
      </c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 ht="15.75" customHeight="1">
      <c r="A315" s="215">
        <v>176.0</v>
      </c>
      <c r="B315" s="221">
        <v>46178.0</v>
      </c>
      <c r="C315" s="222">
        <v>121.0</v>
      </c>
      <c r="D315" s="222" t="s">
        <v>269</v>
      </c>
      <c r="E315" s="212"/>
      <c r="F315" s="220"/>
      <c r="G315" s="222" t="s">
        <v>857</v>
      </c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 ht="15.75" customHeight="1">
      <c r="A316" s="215">
        <v>176.0</v>
      </c>
      <c r="B316" s="216">
        <v>46178.0</v>
      </c>
      <c r="C316" s="217">
        <v>69.0</v>
      </c>
      <c r="D316" s="225" t="s">
        <v>858</v>
      </c>
      <c r="E316" s="212"/>
      <c r="F316" s="220"/>
      <c r="G316" s="217" t="s">
        <v>859</v>
      </c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 ht="15.75" customHeight="1">
      <c r="A317" s="215">
        <v>176.0</v>
      </c>
      <c r="B317" s="221">
        <v>46178.0</v>
      </c>
      <c r="C317" s="222">
        <v>297.0</v>
      </c>
      <c r="D317" s="226" t="s">
        <v>858</v>
      </c>
      <c r="E317" s="212"/>
      <c r="F317" s="220"/>
      <c r="G317" s="222" t="s">
        <v>259</v>
      </c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 ht="15.75" customHeight="1">
      <c r="A318" s="215">
        <v>176.0</v>
      </c>
      <c r="B318" s="216">
        <v>46178.0</v>
      </c>
      <c r="C318" s="217">
        <v>267.3</v>
      </c>
      <c r="D318" s="217" t="s">
        <v>860</v>
      </c>
      <c r="E318" s="212"/>
      <c r="F318" s="220"/>
      <c r="G318" s="217" t="s">
        <v>861</v>
      </c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 ht="15.75" customHeight="1">
      <c r="A319" s="215">
        <v>176.0</v>
      </c>
      <c r="B319" s="221">
        <v>46178.0</v>
      </c>
      <c r="C319" s="222">
        <v>205.0</v>
      </c>
      <c r="D319" s="222" t="s">
        <v>862</v>
      </c>
      <c r="E319" s="212"/>
      <c r="F319" s="220"/>
      <c r="G319" s="222" t="s">
        <v>863</v>
      </c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 ht="15.75" customHeight="1">
      <c r="A320" s="215">
        <v>176.0</v>
      </c>
      <c r="B320" s="216">
        <v>46178.0</v>
      </c>
      <c r="C320" s="217">
        <v>194.8</v>
      </c>
      <c r="D320" s="217" t="s">
        <v>225</v>
      </c>
      <c r="E320" s="212"/>
      <c r="F320" s="220"/>
      <c r="G320" s="217" t="s">
        <v>864</v>
      </c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 ht="15.75" customHeight="1">
      <c r="A321" s="215">
        <v>176.0</v>
      </c>
      <c r="B321" s="221">
        <v>46178.0</v>
      </c>
      <c r="C321" s="227">
        <v>3011.82</v>
      </c>
      <c r="D321" s="222" t="s">
        <v>189</v>
      </c>
      <c r="E321" s="212"/>
      <c r="F321" s="220"/>
      <c r="G321" s="222" t="s">
        <v>259</v>
      </c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 ht="15.75" customHeight="1">
      <c r="A322" s="215">
        <v>176.0</v>
      </c>
      <c r="B322" s="216">
        <v>46178.0</v>
      </c>
      <c r="C322" s="217">
        <v>26.29</v>
      </c>
      <c r="D322" s="217" t="s">
        <v>288</v>
      </c>
      <c r="E322" s="212"/>
      <c r="F322" s="220"/>
      <c r="G322" s="217" t="s">
        <v>865</v>
      </c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 ht="15.75" customHeight="1">
      <c r="A323" s="215">
        <v>176.0</v>
      </c>
      <c r="B323" s="221">
        <v>46178.0</v>
      </c>
      <c r="C323" s="222">
        <v>91.43</v>
      </c>
      <c r="D323" s="222" t="s">
        <v>741</v>
      </c>
      <c r="E323" s="212"/>
      <c r="F323" s="220"/>
      <c r="G323" s="222" t="s">
        <v>866</v>
      </c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 ht="15.75" customHeight="1">
      <c r="A324" s="215">
        <v>176.0</v>
      </c>
      <c r="B324" s="216">
        <v>46178.0</v>
      </c>
      <c r="C324" s="217">
        <v>168.97</v>
      </c>
      <c r="D324" s="217" t="s">
        <v>171</v>
      </c>
      <c r="E324" s="212"/>
      <c r="F324" s="220"/>
      <c r="G324" s="217" t="s">
        <v>259</v>
      </c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 ht="15.75" customHeight="1">
      <c r="A325" s="215">
        <v>176.0</v>
      </c>
      <c r="B325" s="221">
        <v>46178.0</v>
      </c>
      <c r="C325" s="227">
        <v>1012.38</v>
      </c>
      <c r="D325" s="226" t="s">
        <v>215</v>
      </c>
      <c r="E325" s="212"/>
      <c r="F325" s="220"/>
      <c r="G325" s="222" t="s">
        <v>271</v>
      </c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 ht="15.75" customHeight="1">
      <c r="A326" s="215">
        <v>176.0</v>
      </c>
      <c r="B326" s="216">
        <v>46178.0</v>
      </c>
      <c r="C326" s="217">
        <v>125.0</v>
      </c>
      <c r="D326" s="225" t="s">
        <v>251</v>
      </c>
      <c r="E326" s="212"/>
      <c r="F326" s="220"/>
      <c r="G326" s="217" t="s">
        <v>867</v>
      </c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 ht="15.75" customHeight="1">
      <c r="A327" s="215">
        <v>176.0</v>
      </c>
      <c r="B327" s="221">
        <v>46178.0</v>
      </c>
      <c r="C327" s="222">
        <v>14.93</v>
      </c>
      <c r="D327" s="226" t="s">
        <v>673</v>
      </c>
      <c r="E327" s="212"/>
      <c r="F327" s="220"/>
      <c r="G327" s="222" t="s">
        <v>868</v>
      </c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 ht="15.75" customHeight="1">
      <c r="A328" s="215">
        <v>176.0</v>
      </c>
      <c r="B328" s="216">
        <v>46178.0</v>
      </c>
      <c r="C328" s="217">
        <v>800.0</v>
      </c>
      <c r="D328" s="225" t="s">
        <v>359</v>
      </c>
      <c r="E328" s="212"/>
      <c r="F328" s="220"/>
      <c r="G328" s="225">
        <v>5012.0</v>
      </c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 ht="15.75" customHeight="1">
      <c r="A329" s="215">
        <v>176.0</v>
      </c>
      <c r="B329" s="221">
        <v>46178.0</v>
      </c>
      <c r="C329" s="227">
        <v>2926.31</v>
      </c>
      <c r="D329" s="226" t="s">
        <v>52</v>
      </c>
      <c r="E329" s="212"/>
      <c r="F329" s="220"/>
      <c r="G329" s="222">
        <v>506011.0</v>
      </c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 ht="15.75" customHeight="1">
      <c r="A330" s="215">
        <v>176.0</v>
      </c>
      <c r="B330" s="216">
        <v>46178.0</v>
      </c>
      <c r="C330" s="217">
        <v>782.0</v>
      </c>
      <c r="D330" s="225" t="s">
        <v>152</v>
      </c>
      <c r="E330" s="212"/>
      <c r="F330" s="220"/>
      <c r="G330" s="217">
        <v>3062026.0</v>
      </c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 ht="15.75" customHeight="1">
      <c r="A331" s="215">
        <v>176.0</v>
      </c>
      <c r="B331" s="221">
        <v>46178.0</v>
      </c>
      <c r="C331" s="222">
        <v>119.0</v>
      </c>
      <c r="D331" s="222" t="s">
        <v>487</v>
      </c>
      <c r="E331" s="212"/>
      <c r="F331" s="220"/>
      <c r="G331" s="222">
        <v>501.0</v>
      </c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 ht="15.75" customHeight="1">
      <c r="A332" s="215">
        <v>176.0</v>
      </c>
      <c r="B332" s="216">
        <v>46178.0</v>
      </c>
      <c r="C332" s="217">
        <v>119.0</v>
      </c>
      <c r="D332" s="217" t="s">
        <v>453</v>
      </c>
      <c r="E332" s="212"/>
      <c r="F332" s="220"/>
      <c r="G332" s="217">
        <v>502.0</v>
      </c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 ht="15.75" customHeight="1">
      <c r="A333" s="215">
        <v>176.0</v>
      </c>
      <c r="B333" s="221">
        <v>46178.0</v>
      </c>
      <c r="C333" s="222">
        <v>65.7</v>
      </c>
      <c r="D333" s="222" t="s">
        <v>203</v>
      </c>
      <c r="E333" s="212"/>
      <c r="F333" s="220"/>
      <c r="G333" s="222" t="s">
        <v>869</v>
      </c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 ht="15.75" customHeight="1">
      <c r="A334" s="215">
        <v>176.0</v>
      </c>
      <c r="B334" s="216">
        <v>46177.0</v>
      </c>
      <c r="C334" s="217">
        <v>210.0</v>
      </c>
      <c r="D334" s="217" t="s">
        <v>403</v>
      </c>
      <c r="E334" s="212"/>
      <c r="F334" s="220"/>
      <c r="G334" s="217" t="s">
        <v>870</v>
      </c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 ht="15.75" customHeight="1">
      <c r="A335" s="215">
        <v>176.0</v>
      </c>
      <c r="B335" s="221">
        <v>46177.0</v>
      </c>
      <c r="C335" s="222">
        <v>420.0</v>
      </c>
      <c r="D335" s="222" t="s">
        <v>656</v>
      </c>
      <c r="E335" s="212"/>
      <c r="F335" s="220"/>
      <c r="G335" s="222" t="s">
        <v>871</v>
      </c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 ht="15.75" customHeight="1">
      <c r="A336" s="215">
        <v>176.0</v>
      </c>
      <c r="B336" s="216">
        <v>46177.0</v>
      </c>
      <c r="C336" s="217">
        <v>160.0</v>
      </c>
      <c r="D336" s="217" t="s">
        <v>713</v>
      </c>
      <c r="E336" s="212"/>
      <c r="F336" s="220"/>
      <c r="G336" s="217" t="s">
        <v>376</v>
      </c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 ht="15.75" customHeight="1">
      <c r="A337" s="215">
        <v>176.0</v>
      </c>
      <c r="B337" s="221">
        <v>46177.0</v>
      </c>
      <c r="C337" s="222">
        <v>241.61</v>
      </c>
      <c r="D337" s="222" t="s">
        <v>288</v>
      </c>
      <c r="E337" s="212"/>
      <c r="F337" s="220"/>
      <c r="G337" s="222" t="s">
        <v>271</v>
      </c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 ht="15.75" customHeight="1">
      <c r="A338" s="215">
        <v>176.0</v>
      </c>
      <c r="B338" s="216">
        <v>46177.0</v>
      </c>
      <c r="C338" s="217">
        <v>215.92</v>
      </c>
      <c r="D338" s="217" t="s">
        <v>288</v>
      </c>
      <c r="E338" s="212"/>
      <c r="F338" s="220"/>
      <c r="G338" s="217" t="s">
        <v>271</v>
      </c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 ht="15.75" customHeight="1">
      <c r="A339" s="215">
        <v>176.0</v>
      </c>
      <c r="B339" s="221">
        <v>46177.0</v>
      </c>
      <c r="C339" s="222">
        <v>190.0</v>
      </c>
      <c r="D339" s="222" t="s">
        <v>374</v>
      </c>
      <c r="E339" s="212"/>
      <c r="F339" s="220"/>
      <c r="G339" s="222" t="s">
        <v>872</v>
      </c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 ht="15.75" customHeight="1">
      <c r="A340" s="215">
        <v>176.0</v>
      </c>
      <c r="B340" s="216">
        <v>46177.0</v>
      </c>
      <c r="C340" s="217">
        <v>160.0</v>
      </c>
      <c r="D340" s="217" t="s">
        <v>403</v>
      </c>
      <c r="E340" s="212"/>
      <c r="F340" s="220"/>
      <c r="G340" s="217" t="s">
        <v>376</v>
      </c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 ht="15.75" customHeight="1">
      <c r="A341" s="215">
        <v>176.0</v>
      </c>
      <c r="B341" s="221">
        <v>46176.0</v>
      </c>
      <c r="C341" s="222">
        <v>602.37</v>
      </c>
      <c r="D341" s="226" t="s">
        <v>288</v>
      </c>
      <c r="E341" s="212"/>
      <c r="F341" s="220"/>
      <c r="G341" s="226" t="s">
        <v>873</v>
      </c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 ht="15.75" customHeight="1">
      <c r="A342" s="215">
        <v>176.0</v>
      </c>
      <c r="B342" s="216">
        <v>46176.0</v>
      </c>
      <c r="C342" s="217">
        <v>980.0</v>
      </c>
      <c r="D342" s="225" t="s">
        <v>349</v>
      </c>
      <c r="E342" s="212"/>
      <c r="F342" s="220"/>
      <c r="G342" s="217" t="s">
        <v>874</v>
      </c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 ht="15.75" customHeight="1">
      <c r="A343" s="215">
        <v>176.0</v>
      </c>
      <c r="B343" s="221">
        <v>46176.0</v>
      </c>
      <c r="C343" s="222">
        <v>299.3</v>
      </c>
      <c r="D343" s="222" t="s">
        <v>875</v>
      </c>
      <c r="E343" s="212"/>
      <c r="F343" s="220"/>
      <c r="G343" s="222" t="s">
        <v>876</v>
      </c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 ht="15.75" customHeight="1">
      <c r="A344" s="215">
        <v>176.0</v>
      </c>
      <c r="B344" s="216">
        <v>46176.0</v>
      </c>
      <c r="C344" s="217">
        <v>12.31</v>
      </c>
      <c r="D344" s="225" t="s">
        <v>221</v>
      </c>
      <c r="E344" s="212"/>
      <c r="F344" s="220"/>
      <c r="G344" s="217" t="s">
        <v>877</v>
      </c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 ht="15.75" customHeight="1">
      <c r="A345" s="215">
        <v>176.0</v>
      </c>
      <c r="B345" s="221">
        <v>46176.0</v>
      </c>
      <c r="C345" s="227">
        <v>1027.8</v>
      </c>
      <c r="D345" s="222" t="s">
        <v>172</v>
      </c>
      <c r="E345" s="212"/>
      <c r="F345" s="220"/>
      <c r="G345" s="222" t="s">
        <v>168</v>
      </c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 ht="15.75" customHeight="1">
      <c r="A346" s="215">
        <v>176.0</v>
      </c>
      <c r="B346" s="216">
        <v>46176.0</v>
      </c>
      <c r="C346" s="224">
        <v>1199.8</v>
      </c>
      <c r="D346" s="218" t="s">
        <v>179</v>
      </c>
      <c r="E346" s="212"/>
      <c r="F346" s="220"/>
      <c r="G346" s="217">
        <v>306.0</v>
      </c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 ht="15.75" customHeight="1">
      <c r="A347" s="215">
        <v>176.0</v>
      </c>
      <c r="B347" s="221">
        <v>46176.0</v>
      </c>
      <c r="C347" s="222">
        <v>95.99</v>
      </c>
      <c r="D347" s="222" t="s">
        <v>664</v>
      </c>
      <c r="E347" s="212"/>
      <c r="F347" s="220"/>
      <c r="G347" s="222" t="s">
        <v>669</v>
      </c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 ht="15.75" customHeight="1">
      <c r="A348" s="215">
        <v>176.0</v>
      </c>
      <c r="B348" s="216">
        <v>46176.0</v>
      </c>
      <c r="C348" s="217">
        <v>153.0</v>
      </c>
      <c r="D348" s="217" t="s">
        <v>797</v>
      </c>
      <c r="E348" s="212"/>
      <c r="F348" s="220"/>
      <c r="G348" s="217">
        <v>301.0</v>
      </c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 ht="15.75" customHeight="1">
      <c r="A349" s="215">
        <v>176.0</v>
      </c>
      <c r="B349" s="221">
        <v>46175.0</v>
      </c>
      <c r="C349" s="222">
        <v>55.26</v>
      </c>
      <c r="D349" s="226" t="s">
        <v>878</v>
      </c>
      <c r="E349" s="212"/>
      <c r="F349" s="220"/>
      <c r="G349" s="222">
        <v>201.0</v>
      </c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 ht="15.75" customHeight="1">
      <c r="A350" s="215">
        <v>176.0</v>
      </c>
      <c r="B350" s="216">
        <v>46175.0</v>
      </c>
      <c r="C350" s="217">
        <v>917.73</v>
      </c>
      <c r="D350" s="225" t="s">
        <v>244</v>
      </c>
      <c r="E350" s="212"/>
      <c r="F350" s="220"/>
      <c r="G350" s="217">
        <v>10607.0</v>
      </c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 ht="15.75" customHeight="1">
      <c r="A351" s="215">
        <v>176.0</v>
      </c>
      <c r="B351" s="216">
        <v>46198.0</v>
      </c>
      <c r="C351" s="224">
        <v>4555.0</v>
      </c>
      <c r="D351" s="217" t="s">
        <v>879</v>
      </c>
      <c r="E351" s="212"/>
      <c r="F351" s="220"/>
      <c r="G351" s="236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 ht="15.75" customHeight="1">
      <c r="A352" s="222">
        <v>178.0</v>
      </c>
      <c r="B352" s="221">
        <v>46203.0</v>
      </c>
      <c r="C352" s="222">
        <v>9.71</v>
      </c>
      <c r="D352" s="222" t="s">
        <v>673</v>
      </c>
      <c r="E352" s="212"/>
      <c r="F352" s="220"/>
      <c r="G352" s="222" t="s">
        <v>357</v>
      </c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 ht="15.75" customHeight="1">
      <c r="A353" s="217">
        <v>178.0</v>
      </c>
      <c r="B353" s="216">
        <v>46203.0</v>
      </c>
      <c r="C353" s="217">
        <v>100.0</v>
      </c>
      <c r="D353" s="217" t="s">
        <v>880</v>
      </c>
      <c r="E353" s="212"/>
      <c r="F353" s="220"/>
      <c r="G353" s="217" t="s">
        <v>59</v>
      </c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 ht="15.75" customHeight="1">
      <c r="A354" s="222">
        <v>178.0</v>
      </c>
      <c r="B354" s="221">
        <v>46203.0</v>
      </c>
      <c r="C354" s="222">
        <v>100.0</v>
      </c>
      <c r="D354" s="222" t="s">
        <v>758</v>
      </c>
      <c r="E354" s="212"/>
      <c r="F354" s="220"/>
      <c r="G354" s="222" t="s">
        <v>58</v>
      </c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 ht="15.75" customHeight="1">
      <c r="A355" s="217">
        <v>178.0</v>
      </c>
      <c r="B355" s="216">
        <v>46203.0</v>
      </c>
      <c r="C355" s="217">
        <v>170.0</v>
      </c>
      <c r="D355" s="217" t="s">
        <v>732</v>
      </c>
      <c r="E355" s="212"/>
      <c r="F355" s="220"/>
      <c r="G355" s="217">
        <v>3006.0</v>
      </c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 ht="15.75" customHeight="1">
      <c r="A356" s="222">
        <v>178.0</v>
      </c>
      <c r="B356" s="221">
        <v>46203.0</v>
      </c>
      <c r="C356" s="222">
        <v>325.0</v>
      </c>
      <c r="D356" s="222" t="s">
        <v>723</v>
      </c>
      <c r="E356" s="212"/>
      <c r="F356" s="220"/>
      <c r="G356" s="222">
        <v>3011.0</v>
      </c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 ht="15.75" customHeight="1">
      <c r="A357" s="217">
        <v>178.0</v>
      </c>
      <c r="B357" s="216">
        <v>46203.0</v>
      </c>
      <c r="C357" s="217">
        <v>325.0</v>
      </c>
      <c r="D357" s="217" t="s">
        <v>797</v>
      </c>
      <c r="E357" s="212"/>
      <c r="F357" s="220"/>
      <c r="G357" s="217">
        <v>3011.0</v>
      </c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 ht="15.75" customHeight="1">
      <c r="A358" s="222">
        <v>178.0</v>
      </c>
      <c r="B358" s="221">
        <v>46202.0</v>
      </c>
      <c r="C358" s="227">
        <v>1200.0</v>
      </c>
      <c r="D358" s="222" t="s">
        <v>881</v>
      </c>
      <c r="E358" s="212"/>
      <c r="F358" s="220"/>
      <c r="G358" s="222">
        <v>2706.0</v>
      </c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 ht="15.75" customHeight="1">
      <c r="A359" s="217">
        <v>178.0</v>
      </c>
      <c r="B359" s="216">
        <v>46202.0</v>
      </c>
      <c r="C359" s="217">
        <v>100.0</v>
      </c>
      <c r="D359" s="217" t="s">
        <v>758</v>
      </c>
      <c r="E359" s="212"/>
      <c r="F359" s="220"/>
      <c r="G359" s="217" t="s">
        <v>882</v>
      </c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 ht="15.75" customHeight="1">
      <c r="A360" s="222">
        <v>178.0</v>
      </c>
      <c r="B360" s="221">
        <v>46202.0</v>
      </c>
      <c r="C360" s="222">
        <v>200.0</v>
      </c>
      <c r="D360" s="222" t="s">
        <v>596</v>
      </c>
      <c r="E360" s="212"/>
      <c r="F360" s="220"/>
      <c r="G360" s="222" t="s">
        <v>883</v>
      </c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 ht="15.75" customHeight="1">
      <c r="A361" s="217">
        <v>178.0</v>
      </c>
      <c r="B361" s="216">
        <v>46202.0</v>
      </c>
      <c r="C361" s="217">
        <v>300.0</v>
      </c>
      <c r="D361" s="217" t="s">
        <v>442</v>
      </c>
      <c r="E361" s="212"/>
      <c r="F361" s="220"/>
      <c r="G361" s="217" t="s">
        <v>884</v>
      </c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 ht="15.75" customHeight="1">
      <c r="A362" s="222">
        <v>178.0</v>
      </c>
      <c r="B362" s="221">
        <v>46201.0</v>
      </c>
      <c r="C362" s="222">
        <v>100.0</v>
      </c>
      <c r="D362" s="222" t="s">
        <v>797</v>
      </c>
      <c r="E362" s="212"/>
      <c r="F362" s="220"/>
      <c r="G362" s="222">
        <v>2801.0</v>
      </c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 ht="15.75" customHeight="1">
      <c r="A363" s="217">
        <v>178.0</v>
      </c>
      <c r="B363" s="216">
        <v>46200.0</v>
      </c>
      <c r="C363" s="217">
        <v>275.0</v>
      </c>
      <c r="D363" s="217" t="s">
        <v>797</v>
      </c>
      <c r="E363" s="212"/>
      <c r="F363" s="220"/>
      <c r="G363" s="217">
        <v>2709.0</v>
      </c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 ht="15.75" customHeight="1">
      <c r="A364" s="222">
        <v>178.0</v>
      </c>
      <c r="B364" s="221">
        <v>46200.0</v>
      </c>
      <c r="C364" s="222">
        <v>275.0</v>
      </c>
      <c r="D364" s="222" t="s">
        <v>723</v>
      </c>
      <c r="E364" s="212"/>
      <c r="F364" s="220"/>
      <c r="G364" s="222">
        <v>2710.0</v>
      </c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 ht="15.75" customHeight="1">
      <c r="A365" s="217">
        <v>178.0</v>
      </c>
      <c r="B365" s="216">
        <v>46200.0</v>
      </c>
      <c r="C365" s="217">
        <v>229.5</v>
      </c>
      <c r="D365" s="217" t="s">
        <v>885</v>
      </c>
      <c r="E365" s="212"/>
      <c r="F365" s="220"/>
      <c r="G365" s="217" t="s">
        <v>882</v>
      </c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 ht="15.75" customHeight="1">
      <c r="A366" s="222">
        <v>178.0</v>
      </c>
      <c r="B366" s="221">
        <v>46200.0</v>
      </c>
      <c r="C366" s="222">
        <v>136.0</v>
      </c>
      <c r="D366" s="222" t="s">
        <v>723</v>
      </c>
      <c r="E366" s="212"/>
      <c r="F366" s="220"/>
      <c r="G366" s="222">
        <v>2720.0</v>
      </c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 ht="15.75" customHeight="1">
      <c r="A367" s="217">
        <v>178.0</v>
      </c>
      <c r="B367" s="216">
        <v>46200.0</v>
      </c>
      <c r="C367" s="217">
        <v>100.0</v>
      </c>
      <c r="D367" s="217" t="s">
        <v>886</v>
      </c>
      <c r="E367" s="212"/>
      <c r="F367" s="220"/>
      <c r="G367" s="217" t="s">
        <v>59</v>
      </c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 ht="15.75" customHeight="1">
      <c r="A368" s="222">
        <v>178.0</v>
      </c>
      <c r="B368" s="221">
        <v>46200.0</v>
      </c>
      <c r="C368" s="222">
        <v>100.01</v>
      </c>
      <c r="D368" s="222" t="s">
        <v>886</v>
      </c>
      <c r="E368" s="212"/>
      <c r="F368" s="220"/>
      <c r="G368" s="222" t="s">
        <v>58</v>
      </c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 ht="15.75" customHeight="1">
      <c r="A369" s="217">
        <v>178.0</v>
      </c>
      <c r="B369" s="216">
        <v>46200.0</v>
      </c>
      <c r="C369" s="217">
        <v>100.0</v>
      </c>
      <c r="D369" s="217" t="s">
        <v>596</v>
      </c>
      <c r="E369" s="212"/>
      <c r="F369" s="220"/>
      <c r="G369" s="217" t="s">
        <v>882</v>
      </c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 ht="15.75" customHeight="1">
      <c r="A370" s="222">
        <v>178.0</v>
      </c>
      <c r="B370" s="221">
        <v>46200.0</v>
      </c>
      <c r="C370" s="222">
        <v>100.01</v>
      </c>
      <c r="D370" s="222" t="s">
        <v>596</v>
      </c>
      <c r="E370" s="212"/>
      <c r="F370" s="220"/>
      <c r="G370" s="222" t="s">
        <v>58</v>
      </c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 ht="15.75" customHeight="1">
      <c r="A371" s="217">
        <v>178.0</v>
      </c>
      <c r="B371" s="216">
        <v>46200.0</v>
      </c>
      <c r="C371" s="217">
        <v>170.0</v>
      </c>
      <c r="D371" s="217" t="s">
        <v>594</v>
      </c>
      <c r="E371" s="212"/>
      <c r="F371" s="220"/>
      <c r="G371" s="217">
        <v>2728.0</v>
      </c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 ht="15.75" customHeight="1">
      <c r="A372" s="222">
        <v>178.0</v>
      </c>
      <c r="B372" s="221">
        <v>46200.0</v>
      </c>
      <c r="C372" s="222">
        <v>275.0</v>
      </c>
      <c r="D372" s="222" t="s">
        <v>797</v>
      </c>
      <c r="E372" s="212"/>
      <c r="F372" s="220"/>
      <c r="G372" s="222">
        <v>2728.0</v>
      </c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 ht="15.75" customHeight="1">
      <c r="A373" s="217">
        <v>178.0</v>
      </c>
      <c r="B373" s="216">
        <v>46200.0</v>
      </c>
      <c r="C373" s="217">
        <v>229.5</v>
      </c>
      <c r="D373" s="217" t="s">
        <v>451</v>
      </c>
      <c r="E373" s="212"/>
      <c r="F373" s="220"/>
      <c r="G373" s="217" t="s">
        <v>887</v>
      </c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 ht="15.75" customHeight="1">
      <c r="A374" s="222">
        <v>178.0</v>
      </c>
      <c r="B374" s="221">
        <v>46200.0</v>
      </c>
      <c r="C374" s="222">
        <v>229.51</v>
      </c>
      <c r="D374" s="222" t="s">
        <v>451</v>
      </c>
      <c r="E374" s="212"/>
      <c r="F374" s="220"/>
      <c r="G374" s="222" t="s">
        <v>888</v>
      </c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 ht="15.75" customHeight="1">
      <c r="A375" s="217">
        <v>178.0</v>
      </c>
      <c r="B375" s="216">
        <v>46199.0</v>
      </c>
      <c r="C375" s="217">
        <v>690.0</v>
      </c>
      <c r="D375" s="217" t="s">
        <v>889</v>
      </c>
      <c r="E375" s="212"/>
      <c r="F375" s="220"/>
      <c r="G375" s="217">
        <v>2.6062026E7</v>
      </c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 ht="15.75" customHeight="1">
      <c r="A376" s="222">
        <v>178.0</v>
      </c>
      <c r="B376" s="221">
        <v>46199.0</v>
      </c>
      <c r="C376" s="222">
        <v>100.0</v>
      </c>
      <c r="D376" s="222" t="s">
        <v>758</v>
      </c>
      <c r="E376" s="212"/>
      <c r="F376" s="220"/>
      <c r="G376" s="222" t="s">
        <v>59</v>
      </c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 ht="15.75" customHeight="1">
      <c r="A377" s="217">
        <v>178.0</v>
      </c>
      <c r="B377" s="216">
        <v>46199.0</v>
      </c>
      <c r="C377" s="217">
        <v>100.0</v>
      </c>
      <c r="D377" s="217" t="s">
        <v>596</v>
      </c>
      <c r="E377" s="212"/>
      <c r="F377" s="220"/>
      <c r="G377" s="217" t="s">
        <v>882</v>
      </c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 ht="15.75" customHeight="1">
      <c r="A378" s="222">
        <v>178.0</v>
      </c>
      <c r="B378" s="221">
        <v>46199.0</v>
      </c>
      <c r="C378" s="222">
        <v>100.01</v>
      </c>
      <c r="D378" s="222" t="s">
        <v>596</v>
      </c>
      <c r="E378" s="212"/>
      <c r="F378" s="220"/>
      <c r="G378" s="222" t="s">
        <v>882</v>
      </c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 ht="15.75" customHeight="1">
      <c r="A379" s="217">
        <v>178.0</v>
      </c>
      <c r="B379" s="216">
        <v>46199.0</v>
      </c>
      <c r="C379" s="217">
        <v>100.0</v>
      </c>
      <c r="D379" s="217" t="s">
        <v>886</v>
      </c>
      <c r="E379" s="212"/>
      <c r="F379" s="220"/>
      <c r="G379" s="217" t="s">
        <v>58</v>
      </c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 ht="15.75" customHeight="1">
      <c r="A380" s="222">
        <v>178.0</v>
      </c>
      <c r="B380" s="221">
        <v>46198.0</v>
      </c>
      <c r="C380" s="222">
        <v>100.0</v>
      </c>
      <c r="D380" s="222" t="s">
        <v>596</v>
      </c>
      <c r="E380" s="212"/>
      <c r="F380" s="220"/>
      <c r="G380" s="222" t="s">
        <v>882</v>
      </c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 ht="15.75" customHeight="1">
      <c r="A381" s="217">
        <v>178.0</v>
      </c>
      <c r="B381" s="216">
        <v>46198.0</v>
      </c>
      <c r="C381" s="217">
        <v>100.01</v>
      </c>
      <c r="D381" s="217" t="s">
        <v>596</v>
      </c>
      <c r="E381" s="212"/>
      <c r="F381" s="220"/>
      <c r="G381" s="217" t="s">
        <v>58</v>
      </c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 ht="15.75" customHeight="1">
      <c r="A382" s="222">
        <v>178.0</v>
      </c>
      <c r="B382" s="221">
        <v>46198.0</v>
      </c>
      <c r="C382" s="222">
        <v>105.0</v>
      </c>
      <c r="D382" s="222" t="s">
        <v>890</v>
      </c>
      <c r="E382" s="212"/>
      <c r="F382" s="220"/>
      <c r="G382" s="222" t="s">
        <v>891</v>
      </c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 ht="15.75" customHeight="1">
      <c r="A383" s="217">
        <v>178.0</v>
      </c>
      <c r="B383" s="216">
        <v>46197.0</v>
      </c>
      <c r="C383" s="217">
        <v>275.0</v>
      </c>
      <c r="D383" s="217" t="s">
        <v>797</v>
      </c>
      <c r="E383" s="212"/>
      <c r="F383" s="220"/>
      <c r="G383" s="217">
        <v>2401.0</v>
      </c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 ht="15.75" customHeight="1">
      <c r="A384" s="222">
        <v>178.0</v>
      </c>
      <c r="B384" s="221">
        <v>46197.0</v>
      </c>
      <c r="C384" s="222">
        <v>153.0</v>
      </c>
      <c r="D384" s="222" t="s">
        <v>732</v>
      </c>
      <c r="E384" s="212"/>
      <c r="F384" s="220"/>
      <c r="G384" s="222">
        <v>2402.0</v>
      </c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 ht="15.75" customHeight="1">
      <c r="A385" s="217">
        <v>178.0</v>
      </c>
      <c r="B385" s="216">
        <v>46197.0</v>
      </c>
      <c r="C385" s="217">
        <v>200.0</v>
      </c>
      <c r="D385" s="217" t="s">
        <v>892</v>
      </c>
      <c r="E385" s="212"/>
      <c r="F385" s="220"/>
      <c r="G385" s="217" t="s">
        <v>59</v>
      </c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 ht="15.75" customHeight="1">
      <c r="A386" s="222">
        <v>178.0</v>
      </c>
      <c r="B386" s="221">
        <v>46197.0</v>
      </c>
      <c r="C386" s="222">
        <v>480.0</v>
      </c>
      <c r="D386" s="222" t="s">
        <v>892</v>
      </c>
      <c r="E386" s="212"/>
      <c r="F386" s="220"/>
      <c r="G386" s="222" t="s">
        <v>58</v>
      </c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 ht="15.75" customHeight="1">
      <c r="A387" s="217">
        <v>178.0</v>
      </c>
      <c r="B387" s="216">
        <v>46197.0</v>
      </c>
      <c r="C387" s="217">
        <v>336.83</v>
      </c>
      <c r="D387" s="217" t="s">
        <v>893</v>
      </c>
      <c r="E387" s="212"/>
      <c r="F387" s="220"/>
      <c r="G387" s="217" t="s">
        <v>894</v>
      </c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 ht="15.75" customHeight="1">
      <c r="A388" s="222">
        <v>178.0</v>
      </c>
      <c r="B388" s="221">
        <v>46195.0</v>
      </c>
      <c r="C388" s="222">
        <v>202.5</v>
      </c>
      <c r="D388" s="222" t="s">
        <v>451</v>
      </c>
      <c r="E388" s="212"/>
      <c r="F388" s="220"/>
      <c r="G388" s="222" t="s">
        <v>882</v>
      </c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</row>
    <row r="389" ht="15.75" customHeight="1">
      <c r="A389" s="217">
        <v>178.0</v>
      </c>
      <c r="B389" s="216">
        <v>46195.0</v>
      </c>
      <c r="C389" s="217">
        <v>100.0</v>
      </c>
      <c r="D389" s="217" t="s">
        <v>880</v>
      </c>
      <c r="E389" s="212"/>
      <c r="F389" s="220"/>
      <c r="G389" s="217" t="s">
        <v>882</v>
      </c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</row>
    <row r="390" ht="15.75" customHeight="1">
      <c r="A390" s="222">
        <v>178.0</v>
      </c>
      <c r="B390" s="221">
        <v>46195.0</v>
      </c>
      <c r="C390" s="222">
        <v>100.0</v>
      </c>
      <c r="D390" s="222" t="s">
        <v>596</v>
      </c>
      <c r="E390" s="212"/>
      <c r="F390" s="220"/>
      <c r="G390" s="222" t="s">
        <v>882</v>
      </c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</row>
    <row r="391" ht="15.75" customHeight="1">
      <c r="A391" s="217">
        <v>178.0</v>
      </c>
      <c r="B391" s="216">
        <v>46195.0</v>
      </c>
      <c r="C391" s="217">
        <v>100.01</v>
      </c>
      <c r="D391" s="217" t="s">
        <v>596</v>
      </c>
      <c r="E391" s="212"/>
      <c r="F391" s="220"/>
      <c r="G391" s="217" t="s">
        <v>58</v>
      </c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</row>
    <row r="392" ht="15.75" customHeight="1">
      <c r="A392" s="222">
        <v>178.0</v>
      </c>
      <c r="B392" s="221">
        <v>46195.0</v>
      </c>
      <c r="C392" s="222">
        <v>100.02</v>
      </c>
      <c r="D392" s="222" t="s">
        <v>596</v>
      </c>
      <c r="E392" s="212"/>
      <c r="F392" s="220"/>
      <c r="G392" s="222" t="s">
        <v>59</v>
      </c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</row>
    <row r="393" ht="15.75" customHeight="1">
      <c r="A393" s="217">
        <v>178.0</v>
      </c>
      <c r="B393" s="216">
        <v>46194.0</v>
      </c>
      <c r="C393" s="217">
        <v>202.5</v>
      </c>
      <c r="D393" s="217" t="s">
        <v>583</v>
      </c>
      <c r="E393" s="212"/>
      <c r="F393" s="220"/>
      <c r="G393" s="217" t="s">
        <v>882</v>
      </c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</row>
    <row r="394" ht="15.75" customHeight="1">
      <c r="A394" s="222">
        <v>178.0</v>
      </c>
      <c r="B394" s="221">
        <v>46194.0</v>
      </c>
      <c r="C394" s="222">
        <v>161.5</v>
      </c>
      <c r="D394" s="222" t="s">
        <v>594</v>
      </c>
      <c r="E394" s="212"/>
      <c r="F394" s="220"/>
      <c r="G394" s="222">
        <v>2117.0</v>
      </c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</row>
    <row r="395" ht="15.75" customHeight="1">
      <c r="A395" s="217">
        <v>178.0</v>
      </c>
      <c r="B395" s="216">
        <v>46194.0</v>
      </c>
      <c r="C395" s="217">
        <v>161.5</v>
      </c>
      <c r="D395" s="217" t="s">
        <v>895</v>
      </c>
      <c r="E395" s="212"/>
      <c r="F395" s="220"/>
      <c r="G395" s="217">
        <v>2118.0</v>
      </c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</row>
    <row r="396" ht="15.75" customHeight="1">
      <c r="A396" s="222">
        <v>178.0</v>
      </c>
      <c r="B396" s="221">
        <v>46194.0</v>
      </c>
      <c r="C396" s="222">
        <v>275.0</v>
      </c>
      <c r="D396" s="222" t="s">
        <v>797</v>
      </c>
      <c r="E396" s="212"/>
      <c r="F396" s="220"/>
      <c r="G396" s="222">
        <v>2126.0</v>
      </c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</row>
    <row r="397" ht="15.75" customHeight="1">
      <c r="A397" s="217">
        <v>178.0</v>
      </c>
      <c r="B397" s="216">
        <v>46194.0</v>
      </c>
      <c r="C397" s="217">
        <v>275.0</v>
      </c>
      <c r="D397" s="217" t="s">
        <v>723</v>
      </c>
      <c r="E397" s="212"/>
      <c r="F397" s="220"/>
      <c r="G397" s="217">
        <v>2127.0</v>
      </c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</row>
    <row r="398" ht="15.75" customHeight="1">
      <c r="A398" s="222">
        <v>178.0</v>
      </c>
      <c r="B398" s="221">
        <v>46194.0</v>
      </c>
      <c r="C398" s="222">
        <v>120.0</v>
      </c>
      <c r="D398" s="222" t="s">
        <v>442</v>
      </c>
      <c r="E398" s="212"/>
      <c r="F398" s="220"/>
      <c r="G398" s="222">
        <v>2122.0</v>
      </c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</row>
    <row r="399" ht="15.75" customHeight="1">
      <c r="A399" s="217">
        <v>178.0</v>
      </c>
      <c r="B399" s="216">
        <v>46194.0</v>
      </c>
      <c r="C399" s="217">
        <v>120.0</v>
      </c>
      <c r="D399" s="217" t="s">
        <v>442</v>
      </c>
      <c r="E399" s="212"/>
      <c r="F399" s="220"/>
      <c r="G399" s="217">
        <v>2123.0</v>
      </c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</row>
    <row r="400" ht="15.75" customHeight="1">
      <c r="A400" s="222">
        <v>178.0</v>
      </c>
      <c r="B400" s="221">
        <v>46193.0</v>
      </c>
      <c r="C400" s="222">
        <v>380.0</v>
      </c>
      <c r="D400" s="222" t="s">
        <v>892</v>
      </c>
      <c r="E400" s="212"/>
      <c r="F400" s="220"/>
      <c r="G400" s="222" t="s">
        <v>896</v>
      </c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</row>
    <row r="401" ht="15.75" customHeight="1">
      <c r="A401" s="217">
        <v>178.0</v>
      </c>
      <c r="B401" s="216">
        <v>46193.0</v>
      </c>
      <c r="C401" s="217">
        <v>180.0</v>
      </c>
      <c r="D401" s="217" t="s">
        <v>892</v>
      </c>
      <c r="E401" s="212"/>
      <c r="F401" s="220"/>
      <c r="G401" s="217" t="s">
        <v>58</v>
      </c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</row>
    <row r="402" ht="15.75" customHeight="1">
      <c r="A402" s="222">
        <v>178.0</v>
      </c>
      <c r="B402" s="221">
        <v>46193.0</v>
      </c>
      <c r="C402" s="222">
        <v>200.0</v>
      </c>
      <c r="D402" s="222" t="s">
        <v>892</v>
      </c>
      <c r="E402" s="212"/>
      <c r="F402" s="220"/>
      <c r="G402" s="222" t="s">
        <v>59</v>
      </c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</row>
    <row r="403" ht="15.75" customHeight="1">
      <c r="A403" s="217">
        <v>178.0</v>
      </c>
      <c r="B403" s="216">
        <v>46193.0</v>
      </c>
      <c r="C403" s="217">
        <v>171.0</v>
      </c>
      <c r="D403" s="217" t="s">
        <v>897</v>
      </c>
      <c r="E403" s="212"/>
      <c r="F403" s="220"/>
      <c r="G403" s="217" t="s">
        <v>898</v>
      </c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</row>
    <row r="404" ht="15.75" customHeight="1">
      <c r="A404" s="222">
        <v>178.0</v>
      </c>
      <c r="B404" s="221">
        <v>46193.0</v>
      </c>
      <c r="C404" s="222">
        <v>13.94</v>
      </c>
      <c r="D404" s="222" t="s">
        <v>673</v>
      </c>
      <c r="E404" s="212"/>
      <c r="F404" s="220"/>
      <c r="G404" s="222" t="s">
        <v>899</v>
      </c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</row>
    <row r="405" ht="15.75" customHeight="1">
      <c r="A405" s="217">
        <v>178.0</v>
      </c>
      <c r="B405" s="216">
        <v>46193.0</v>
      </c>
      <c r="C405" s="217">
        <v>200.0</v>
      </c>
      <c r="D405" s="217" t="s">
        <v>758</v>
      </c>
      <c r="E405" s="212"/>
      <c r="F405" s="220"/>
      <c r="G405" s="217" t="s">
        <v>882</v>
      </c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</row>
    <row r="406" ht="15.75" customHeight="1">
      <c r="A406" s="222">
        <v>178.0</v>
      </c>
      <c r="B406" s="221">
        <v>46193.0</v>
      </c>
      <c r="C406" s="222">
        <v>100.0</v>
      </c>
      <c r="D406" s="222" t="s">
        <v>596</v>
      </c>
      <c r="E406" s="212"/>
      <c r="F406" s="220"/>
      <c r="G406" s="222" t="s">
        <v>58</v>
      </c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</row>
    <row r="407" ht="15.75" customHeight="1">
      <c r="A407" s="217">
        <v>178.0</v>
      </c>
      <c r="B407" s="216">
        <v>46193.0</v>
      </c>
      <c r="C407" s="217">
        <v>100.02</v>
      </c>
      <c r="D407" s="217" t="s">
        <v>596</v>
      </c>
      <c r="E407" s="212"/>
      <c r="F407" s="220"/>
      <c r="G407" s="217" t="s">
        <v>59</v>
      </c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</row>
    <row r="408" ht="15.75" customHeight="1">
      <c r="A408" s="222">
        <v>178.0</v>
      </c>
      <c r="B408" s="221">
        <v>46193.0</v>
      </c>
      <c r="C408" s="222">
        <v>1.79</v>
      </c>
      <c r="D408" s="222" t="s">
        <v>673</v>
      </c>
      <c r="E408" s="212"/>
      <c r="F408" s="220"/>
      <c r="G408" s="222" t="s">
        <v>357</v>
      </c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</row>
    <row r="409" ht="15.75" customHeight="1">
      <c r="A409" s="217">
        <v>178.0</v>
      </c>
      <c r="B409" s="216">
        <v>46192.0</v>
      </c>
      <c r="C409" s="217">
        <v>201.8</v>
      </c>
      <c r="D409" s="217" t="s">
        <v>225</v>
      </c>
      <c r="E409" s="212"/>
      <c r="F409" s="220"/>
      <c r="G409" s="217" t="s">
        <v>900</v>
      </c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</row>
    <row r="410" ht="15.75" customHeight="1">
      <c r="A410" s="222">
        <v>178.0</v>
      </c>
      <c r="B410" s="221">
        <v>46192.0</v>
      </c>
      <c r="C410" s="222">
        <v>130.0</v>
      </c>
      <c r="D410" s="222" t="s">
        <v>596</v>
      </c>
      <c r="E410" s="212"/>
      <c r="F410" s="220"/>
      <c r="G410" s="222" t="s">
        <v>882</v>
      </c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</row>
    <row r="411" ht="15.75" customHeight="1">
      <c r="A411" s="217">
        <v>178.0</v>
      </c>
      <c r="B411" s="216">
        <v>46192.0</v>
      </c>
      <c r="C411" s="217">
        <v>835.44</v>
      </c>
      <c r="D411" s="217" t="s">
        <v>901</v>
      </c>
      <c r="E411" s="212"/>
      <c r="F411" s="220"/>
      <c r="G411" s="217" t="s">
        <v>900</v>
      </c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</row>
    <row r="412" ht="15.75" customHeight="1">
      <c r="A412" s="222">
        <v>178.0</v>
      </c>
      <c r="B412" s="221">
        <v>46189.0</v>
      </c>
      <c r="C412" s="222">
        <v>30.63</v>
      </c>
      <c r="D412" s="222" t="s">
        <v>902</v>
      </c>
      <c r="E412" s="212"/>
      <c r="F412" s="220"/>
      <c r="G412" s="222" t="s">
        <v>903</v>
      </c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</row>
    <row r="413" ht="15.75" customHeight="1">
      <c r="A413" s="217">
        <v>178.0</v>
      </c>
      <c r="B413" s="216">
        <v>46189.0</v>
      </c>
      <c r="C413" s="217">
        <v>100.0</v>
      </c>
      <c r="D413" s="217" t="s">
        <v>596</v>
      </c>
      <c r="E413" s="212"/>
      <c r="F413" s="220"/>
      <c r="G413" s="217" t="s">
        <v>8</v>
      </c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</row>
    <row r="414" ht="15.75" customHeight="1">
      <c r="A414" s="222">
        <v>178.0</v>
      </c>
      <c r="B414" s="221">
        <v>46189.0</v>
      </c>
      <c r="C414" s="222">
        <v>100.01</v>
      </c>
      <c r="D414" s="222" t="s">
        <v>596</v>
      </c>
      <c r="E414" s="212"/>
      <c r="F414" s="220"/>
      <c r="G414" s="222" t="s">
        <v>58</v>
      </c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</row>
    <row r="415" ht="15.75" customHeight="1">
      <c r="A415" s="217">
        <v>178.0</v>
      </c>
      <c r="B415" s="216">
        <v>46189.0</v>
      </c>
      <c r="C415" s="217">
        <v>100.02</v>
      </c>
      <c r="D415" s="217" t="s">
        <v>596</v>
      </c>
      <c r="E415" s="212"/>
      <c r="F415" s="220"/>
      <c r="G415" s="217" t="s">
        <v>59</v>
      </c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</row>
    <row r="416" ht="15.75" customHeight="1">
      <c r="A416" s="222">
        <v>178.0</v>
      </c>
      <c r="B416" s="221">
        <v>46189.0</v>
      </c>
      <c r="C416" s="222">
        <v>100.0</v>
      </c>
      <c r="D416" s="222" t="s">
        <v>758</v>
      </c>
      <c r="E416" s="212"/>
      <c r="F416" s="220"/>
      <c r="G416" s="222" t="s">
        <v>884</v>
      </c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</row>
    <row r="417" ht="15.75" customHeight="1">
      <c r="A417" s="217">
        <v>178.0</v>
      </c>
      <c r="B417" s="216">
        <v>46189.0</v>
      </c>
      <c r="C417" s="217">
        <v>100.0</v>
      </c>
      <c r="D417" s="217" t="s">
        <v>880</v>
      </c>
      <c r="E417" s="212"/>
      <c r="F417" s="220"/>
      <c r="G417" s="217" t="s">
        <v>8</v>
      </c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</row>
    <row r="418" ht="15.75" customHeight="1">
      <c r="A418" s="222">
        <v>178.0</v>
      </c>
      <c r="B418" s="221">
        <v>46189.0</v>
      </c>
      <c r="C418" s="222">
        <v>100.01</v>
      </c>
      <c r="D418" s="222" t="s">
        <v>880</v>
      </c>
      <c r="E418" s="212"/>
      <c r="F418" s="220"/>
      <c r="G418" s="222" t="s">
        <v>58</v>
      </c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</row>
    <row r="419" ht="15.75" customHeight="1">
      <c r="A419" s="217">
        <v>178.0</v>
      </c>
      <c r="B419" s="216">
        <v>46189.0</v>
      </c>
      <c r="C419" s="217">
        <v>100.02</v>
      </c>
      <c r="D419" s="217" t="s">
        <v>880</v>
      </c>
      <c r="E419" s="212"/>
      <c r="F419" s="220"/>
      <c r="G419" s="217" t="s">
        <v>59</v>
      </c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</row>
    <row r="420" ht="15.75" customHeight="1">
      <c r="A420" s="222">
        <v>178.0</v>
      </c>
      <c r="B420" s="221">
        <v>46188.0</v>
      </c>
      <c r="C420" s="222">
        <v>202.5</v>
      </c>
      <c r="D420" s="222" t="s">
        <v>463</v>
      </c>
      <c r="E420" s="212"/>
      <c r="F420" s="220"/>
      <c r="G420" s="222" t="s">
        <v>882</v>
      </c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</row>
    <row r="421" ht="15.75" customHeight="1">
      <c r="A421" s="217">
        <v>178.0</v>
      </c>
      <c r="B421" s="216">
        <v>46188.0</v>
      </c>
      <c r="C421" s="217">
        <v>100.0</v>
      </c>
      <c r="D421" s="217" t="s">
        <v>596</v>
      </c>
      <c r="E421" s="212"/>
      <c r="F421" s="220"/>
      <c r="G421" s="217" t="s">
        <v>58</v>
      </c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</row>
    <row r="422" ht="15.75" customHeight="1">
      <c r="A422" s="222">
        <v>178.0</v>
      </c>
      <c r="B422" s="221">
        <v>46188.0</v>
      </c>
      <c r="C422" s="222">
        <v>100.01</v>
      </c>
      <c r="D422" s="222" t="s">
        <v>596</v>
      </c>
      <c r="E422" s="212"/>
      <c r="F422" s="220"/>
      <c r="G422" s="222" t="s">
        <v>59</v>
      </c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</row>
    <row r="423" ht="15.75" customHeight="1">
      <c r="A423" s="217">
        <v>178.0</v>
      </c>
      <c r="B423" s="216">
        <v>46188.0</v>
      </c>
      <c r="C423" s="217">
        <v>100.0</v>
      </c>
      <c r="D423" s="217" t="s">
        <v>880</v>
      </c>
      <c r="E423" s="212"/>
      <c r="F423" s="220"/>
      <c r="G423" s="217" t="s">
        <v>8</v>
      </c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</row>
    <row r="424" ht="15.75" customHeight="1">
      <c r="A424" s="222">
        <v>178.0</v>
      </c>
      <c r="B424" s="221">
        <v>46188.0</v>
      </c>
      <c r="C424" s="222">
        <v>100.01</v>
      </c>
      <c r="D424" s="222" t="s">
        <v>880</v>
      </c>
      <c r="E424" s="212"/>
      <c r="F424" s="220"/>
      <c r="G424" s="222" t="s">
        <v>58</v>
      </c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</row>
    <row r="425" ht="15.75" customHeight="1">
      <c r="A425" s="217">
        <v>178.0</v>
      </c>
      <c r="B425" s="216">
        <v>46187.0</v>
      </c>
      <c r="C425" s="217">
        <v>100.0</v>
      </c>
      <c r="D425" s="217" t="s">
        <v>570</v>
      </c>
      <c r="E425" s="212"/>
      <c r="F425" s="220"/>
      <c r="G425" s="217" t="s">
        <v>884</v>
      </c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</row>
    <row r="426" ht="15.75" customHeight="1">
      <c r="A426" s="222">
        <v>178.0</v>
      </c>
      <c r="B426" s="221">
        <v>46187.0</v>
      </c>
      <c r="C426" s="222">
        <v>275.0</v>
      </c>
      <c r="D426" s="222" t="s">
        <v>797</v>
      </c>
      <c r="E426" s="212"/>
      <c r="F426" s="220"/>
      <c r="G426" s="222">
        <v>1.4062026E7</v>
      </c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</row>
    <row r="427" ht="15.75" customHeight="1">
      <c r="A427" s="217">
        <v>178.0</v>
      </c>
      <c r="B427" s="216">
        <v>46186.0</v>
      </c>
      <c r="C427" s="217">
        <v>202.5</v>
      </c>
      <c r="D427" s="217" t="s">
        <v>444</v>
      </c>
      <c r="E427" s="212"/>
      <c r="F427" s="220"/>
      <c r="G427" s="217" t="s">
        <v>882</v>
      </c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</row>
    <row r="428" ht="15.75" customHeight="1">
      <c r="A428" s="222">
        <v>178.0</v>
      </c>
      <c r="B428" s="221">
        <v>46186.0</v>
      </c>
      <c r="C428" s="222">
        <v>312.0</v>
      </c>
      <c r="D428" s="222" t="s">
        <v>155</v>
      </c>
      <c r="E428" s="212"/>
      <c r="F428" s="220"/>
      <c r="G428" s="222" t="s">
        <v>904</v>
      </c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</row>
    <row r="429" ht="15.75" customHeight="1">
      <c r="A429" s="217">
        <v>178.0</v>
      </c>
      <c r="B429" s="216">
        <v>46186.0</v>
      </c>
      <c r="C429" s="217">
        <v>100.0</v>
      </c>
      <c r="D429" s="217" t="s">
        <v>596</v>
      </c>
      <c r="E429" s="212"/>
      <c r="F429" s="220"/>
      <c r="G429" s="217" t="s">
        <v>882</v>
      </c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</row>
    <row r="430" ht="15.75" customHeight="1">
      <c r="A430" s="222">
        <v>178.0</v>
      </c>
      <c r="B430" s="221">
        <v>46186.0</v>
      </c>
      <c r="C430" s="222">
        <v>68.25</v>
      </c>
      <c r="D430" s="222" t="s">
        <v>841</v>
      </c>
      <c r="E430" s="212"/>
      <c r="F430" s="220"/>
      <c r="G430" s="222">
        <v>81828.0</v>
      </c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</row>
    <row r="431" ht="15.75" customHeight="1">
      <c r="A431" s="217">
        <v>178.0</v>
      </c>
      <c r="B431" s="216">
        <v>46186.0</v>
      </c>
      <c r="C431" s="217">
        <v>100.0</v>
      </c>
      <c r="D431" s="217" t="s">
        <v>541</v>
      </c>
      <c r="E431" s="212"/>
      <c r="F431" s="220"/>
      <c r="G431" s="217" t="s">
        <v>905</v>
      </c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</row>
    <row r="432" ht="15.75" customHeight="1">
      <c r="A432" s="222">
        <v>178.0</v>
      </c>
      <c r="B432" s="221">
        <v>46185.0</v>
      </c>
      <c r="C432" s="222">
        <v>100.0</v>
      </c>
      <c r="D432" s="222" t="s">
        <v>596</v>
      </c>
      <c r="E432" s="212"/>
      <c r="F432" s="220"/>
      <c r="G432" s="222" t="s">
        <v>58</v>
      </c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</row>
    <row r="433" ht="15.75" customHeight="1">
      <c r="A433" s="217">
        <v>178.0</v>
      </c>
      <c r="B433" s="216">
        <v>46185.0</v>
      </c>
      <c r="C433" s="217">
        <v>911.89</v>
      </c>
      <c r="D433" s="217" t="s">
        <v>901</v>
      </c>
      <c r="E433" s="212"/>
      <c r="F433" s="220"/>
      <c r="G433" s="217" t="s">
        <v>906</v>
      </c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</row>
    <row r="434" ht="15.75" customHeight="1">
      <c r="A434" s="222">
        <v>178.0</v>
      </c>
      <c r="B434" s="221">
        <v>46185.0</v>
      </c>
      <c r="C434" s="222">
        <v>202.5</v>
      </c>
      <c r="D434" s="222" t="s">
        <v>451</v>
      </c>
      <c r="E434" s="212"/>
      <c r="F434" s="220"/>
      <c r="G434" s="222" t="s">
        <v>907</v>
      </c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</row>
    <row r="435" ht="15.75" customHeight="1">
      <c r="A435" s="217">
        <v>178.0</v>
      </c>
      <c r="B435" s="216">
        <v>46185.0</v>
      </c>
      <c r="C435" s="217">
        <v>178.5</v>
      </c>
      <c r="D435" s="217" t="s">
        <v>604</v>
      </c>
      <c r="E435" s="212"/>
      <c r="F435" s="220"/>
      <c r="G435" s="217">
        <v>1205.0</v>
      </c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</row>
    <row r="436" ht="15.75" customHeight="1">
      <c r="A436" s="222">
        <v>178.0</v>
      </c>
      <c r="B436" s="221">
        <v>46185.0</v>
      </c>
      <c r="C436" s="222">
        <v>275.0</v>
      </c>
      <c r="D436" s="222" t="s">
        <v>723</v>
      </c>
      <c r="E436" s="212"/>
      <c r="F436" s="220"/>
      <c r="G436" s="222">
        <v>1206.0</v>
      </c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</row>
    <row r="437" ht="15.75" customHeight="1">
      <c r="A437" s="217">
        <v>178.0</v>
      </c>
      <c r="B437" s="216">
        <v>46185.0</v>
      </c>
      <c r="C437" s="217">
        <v>275.0</v>
      </c>
      <c r="D437" s="217" t="s">
        <v>797</v>
      </c>
      <c r="E437" s="212"/>
      <c r="F437" s="220"/>
      <c r="G437" s="217">
        <v>1207.0</v>
      </c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</row>
    <row r="438" ht="15.75" customHeight="1">
      <c r="A438" s="222">
        <v>178.0</v>
      </c>
      <c r="B438" s="221">
        <v>46185.0</v>
      </c>
      <c r="C438" s="222">
        <v>170.0</v>
      </c>
      <c r="D438" s="222" t="s">
        <v>908</v>
      </c>
      <c r="E438" s="212"/>
      <c r="F438" s="220"/>
      <c r="G438" s="222">
        <v>1208.0</v>
      </c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</row>
    <row r="439" ht="15.75" customHeight="1">
      <c r="A439" s="217">
        <v>178.0</v>
      </c>
      <c r="B439" s="216">
        <v>46185.0</v>
      </c>
      <c r="C439" s="217">
        <v>200.0</v>
      </c>
      <c r="D439" s="217" t="s">
        <v>909</v>
      </c>
      <c r="E439" s="212"/>
      <c r="F439" s="220"/>
      <c r="G439" s="217" t="s">
        <v>8</v>
      </c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</row>
    <row r="440" ht="15.75" customHeight="1">
      <c r="A440" s="222">
        <v>178.0</v>
      </c>
      <c r="B440" s="221">
        <v>46185.0</v>
      </c>
      <c r="C440" s="222">
        <v>200.01</v>
      </c>
      <c r="D440" s="222" t="s">
        <v>909</v>
      </c>
      <c r="E440" s="212"/>
      <c r="F440" s="220"/>
      <c r="G440" s="222" t="s">
        <v>910</v>
      </c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</row>
    <row r="441" ht="15.75" customHeight="1">
      <c r="A441" s="217">
        <v>178.0</v>
      </c>
      <c r="B441" s="216">
        <v>46185.0</v>
      </c>
      <c r="C441" s="217">
        <v>300.0</v>
      </c>
      <c r="D441" s="217" t="s">
        <v>596</v>
      </c>
      <c r="E441" s="212"/>
      <c r="F441" s="220"/>
      <c r="G441" s="217" t="s">
        <v>911</v>
      </c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</row>
    <row r="442" ht="15.75" customHeight="1">
      <c r="A442" s="222">
        <v>178.0</v>
      </c>
      <c r="B442" s="221">
        <v>46184.0</v>
      </c>
      <c r="C442" s="227">
        <v>3328.0</v>
      </c>
      <c r="D442" s="222" t="s">
        <v>463</v>
      </c>
      <c r="E442" s="212"/>
      <c r="F442" s="220"/>
      <c r="G442" s="222">
        <v>110601.0</v>
      </c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</row>
    <row r="443" ht="15.75" customHeight="1">
      <c r="A443" s="217">
        <v>178.0</v>
      </c>
      <c r="B443" s="216">
        <v>46184.0</v>
      </c>
      <c r="C443" s="217">
        <v>105.0</v>
      </c>
      <c r="D443" s="217" t="s">
        <v>890</v>
      </c>
      <c r="E443" s="212"/>
      <c r="F443" s="220"/>
      <c r="G443" s="217" t="s">
        <v>891</v>
      </c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</row>
    <row r="444" ht="15.75" customHeight="1">
      <c r="A444" s="222">
        <v>178.0</v>
      </c>
      <c r="B444" s="221">
        <v>46184.0</v>
      </c>
      <c r="C444" s="222">
        <v>100.0</v>
      </c>
      <c r="D444" s="222" t="s">
        <v>880</v>
      </c>
      <c r="E444" s="212"/>
      <c r="F444" s="220"/>
      <c r="G444" s="222" t="s">
        <v>882</v>
      </c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</row>
    <row r="445" ht="15.75" customHeight="1">
      <c r="A445" s="217">
        <v>178.0</v>
      </c>
      <c r="B445" s="216">
        <v>46184.0</v>
      </c>
      <c r="C445" s="217">
        <v>304.0</v>
      </c>
      <c r="D445" s="217" t="s">
        <v>171</v>
      </c>
      <c r="E445" s="212"/>
      <c r="F445" s="220"/>
      <c r="G445" s="217" t="s">
        <v>912</v>
      </c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</row>
    <row r="446" ht="15.75" customHeight="1">
      <c r="A446" s="222">
        <v>178.0</v>
      </c>
      <c r="B446" s="221">
        <v>46184.0</v>
      </c>
      <c r="C446" s="222">
        <v>170.0</v>
      </c>
      <c r="D446" s="222" t="s">
        <v>604</v>
      </c>
      <c r="E446" s="212"/>
      <c r="F446" s="220"/>
      <c r="G446" s="222">
        <v>1103.0</v>
      </c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</row>
    <row r="447" ht="15.75" customHeight="1">
      <c r="A447" s="217">
        <v>178.0</v>
      </c>
      <c r="B447" s="216">
        <v>46184.0</v>
      </c>
      <c r="C447" s="217">
        <v>170.0</v>
      </c>
      <c r="D447" s="217" t="s">
        <v>895</v>
      </c>
      <c r="E447" s="212"/>
      <c r="F447" s="220"/>
      <c r="G447" s="217">
        <v>1110.0</v>
      </c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</row>
    <row r="448" ht="15.75" customHeight="1">
      <c r="A448" s="222">
        <v>178.0</v>
      </c>
      <c r="B448" s="221">
        <v>46184.0</v>
      </c>
      <c r="C448" s="222">
        <v>275.0</v>
      </c>
      <c r="D448" s="222" t="s">
        <v>797</v>
      </c>
      <c r="E448" s="212"/>
      <c r="F448" s="220"/>
      <c r="G448" s="222">
        <v>1113.0</v>
      </c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</row>
    <row r="449" ht="15.75" customHeight="1">
      <c r="A449" s="217">
        <v>178.0</v>
      </c>
      <c r="B449" s="216">
        <v>46183.0</v>
      </c>
      <c r="C449" s="224">
        <v>1660.0</v>
      </c>
      <c r="D449" s="217" t="s">
        <v>892</v>
      </c>
      <c r="E449" s="212"/>
      <c r="F449" s="220"/>
      <c r="G449" s="217">
        <v>1006100.0</v>
      </c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</row>
    <row r="450" ht="15.75" customHeight="1">
      <c r="A450" s="222">
        <v>178.0</v>
      </c>
      <c r="B450" s="221">
        <v>46183.0</v>
      </c>
      <c r="C450" s="222">
        <v>187.0</v>
      </c>
      <c r="D450" s="222" t="s">
        <v>913</v>
      </c>
      <c r="E450" s="212"/>
      <c r="F450" s="220"/>
      <c r="G450" s="222">
        <v>1004.0</v>
      </c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</row>
    <row r="451" ht="15.75" customHeight="1">
      <c r="A451" s="217">
        <v>178.0</v>
      </c>
      <c r="B451" s="216">
        <v>46183.0</v>
      </c>
      <c r="C451" s="217">
        <v>275.0</v>
      </c>
      <c r="D451" s="217" t="s">
        <v>723</v>
      </c>
      <c r="E451" s="212"/>
      <c r="F451" s="220"/>
      <c r="G451" s="217">
        <v>1011.0</v>
      </c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</row>
    <row r="452" ht="15.75" customHeight="1">
      <c r="A452" s="222">
        <v>178.0</v>
      </c>
      <c r="B452" s="221">
        <v>46183.0</v>
      </c>
      <c r="C452" s="222">
        <v>275.0</v>
      </c>
      <c r="D452" s="222" t="s">
        <v>797</v>
      </c>
      <c r="E452" s="212"/>
      <c r="F452" s="220"/>
      <c r="G452" s="222">
        <v>1012.0</v>
      </c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</row>
    <row r="453" ht="15.75" customHeight="1">
      <c r="A453" s="217">
        <v>178.0</v>
      </c>
      <c r="B453" s="216">
        <v>46183.0</v>
      </c>
      <c r="C453" s="217">
        <v>170.0</v>
      </c>
      <c r="D453" s="217" t="s">
        <v>895</v>
      </c>
      <c r="E453" s="212"/>
      <c r="F453" s="220"/>
      <c r="G453" s="217">
        <v>1013.0</v>
      </c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</row>
    <row r="454" ht="15.75" customHeight="1">
      <c r="A454" s="222">
        <v>178.0</v>
      </c>
      <c r="B454" s="221">
        <v>46183.0</v>
      </c>
      <c r="C454" s="222">
        <v>100.0</v>
      </c>
      <c r="D454" s="222" t="s">
        <v>596</v>
      </c>
      <c r="E454" s="212"/>
      <c r="F454" s="220"/>
      <c r="G454" s="222" t="s">
        <v>914</v>
      </c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</row>
    <row r="455" ht="15.75" customHeight="1">
      <c r="A455" s="217">
        <v>178.0</v>
      </c>
      <c r="B455" s="216">
        <v>46183.0</v>
      </c>
      <c r="C455" s="217">
        <v>100.0</v>
      </c>
      <c r="D455" s="217" t="s">
        <v>915</v>
      </c>
      <c r="E455" s="212"/>
      <c r="F455" s="220"/>
      <c r="G455" s="217" t="s">
        <v>916</v>
      </c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</row>
    <row r="456" ht="15.75" customHeight="1">
      <c r="A456" s="222">
        <v>178.0</v>
      </c>
      <c r="B456" s="221">
        <v>46182.0</v>
      </c>
      <c r="C456" s="222">
        <v>100.0</v>
      </c>
      <c r="D456" s="222" t="s">
        <v>596</v>
      </c>
      <c r="E456" s="212"/>
      <c r="F456" s="220"/>
      <c r="G456" s="222" t="s">
        <v>917</v>
      </c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</row>
    <row r="457" ht="15.75" customHeight="1">
      <c r="A457" s="217">
        <v>178.0</v>
      </c>
      <c r="B457" s="216">
        <v>46182.0</v>
      </c>
      <c r="C457" s="217">
        <v>212.5</v>
      </c>
      <c r="D457" s="217" t="s">
        <v>533</v>
      </c>
      <c r="E457" s="212"/>
      <c r="F457" s="220"/>
      <c r="G457" s="217">
        <v>906.0</v>
      </c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</row>
    <row r="458" ht="15.75" customHeight="1">
      <c r="A458" s="222">
        <v>178.0</v>
      </c>
      <c r="B458" s="221">
        <v>46182.0</v>
      </c>
      <c r="C458" s="222">
        <v>246.5</v>
      </c>
      <c r="D458" s="222" t="s">
        <v>604</v>
      </c>
      <c r="E458" s="212"/>
      <c r="F458" s="220"/>
      <c r="G458" s="222">
        <v>907.0</v>
      </c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</row>
    <row r="459" ht="15.75" customHeight="1">
      <c r="A459" s="217">
        <v>178.0</v>
      </c>
      <c r="B459" s="216">
        <v>46182.0</v>
      </c>
      <c r="C459" s="217">
        <v>275.0</v>
      </c>
      <c r="D459" s="217" t="s">
        <v>797</v>
      </c>
      <c r="E459" s="212"/>
      <c r="F459" s="220"/>
      <c r="G459" s="217">
        <v>910.0</v>
      </c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</row>
    <row r="460" ht="15.75" customHeight="1">
      <c r="A460" s="222">
        <v>178.0</v>
      </c>
      <c r="B460" s="221">
        <v>46182.0</v>
      </c>
      <c r="C460" s="222">
        <v>200.0</v>
      </c>
      <c r="D460" s="222" t="s">
        <v>596</v>
      </c>
      <c r="E460" s="212"/>
      <c r="F460" s="220"/>
      <c r="G460" s="222" t="s">
        <v>883</v>
      </c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</row>
    <row r="461" ht="15.75" customHeight="1">
      <c r="A461" s="217">
        <v>178.0</v>
      </c>
      <c r="B461" s="216">
        <v>46182.0</v>
      </c>
      <c r="C461" s="217">
        <v>100.0</v>
      </c>
      <c r="D461" s="217" t="s">
        <v>541</v>
      </c>
      <c r="E461" s="212"/>
      <c r="F461" s="220"/>
      <c r="G461" s="217" t="s">
        <v>918</v>
      </c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</row>
    <row r="462" ht="15.75" customHeight="1">
      <c r="A462" s="222">
        <v>178.0</v>
      </c>
      <c r="B462" s="221">
        <v>46181.0</v>
      </c>
      <c r="C462" s="227">
        <v>1200.0</v>
      </c>
      <c r="D462" s="222" t="s">
        <v>881</v>
      </c>
      <c r="E462" s="212"/>
      <c r="F462" s="220"/>
      <c r="G462" s="222">
        <v>8082026.0</v>
      </c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</row>
    <row r="463" ht="15.75" customHeight="1">
      <c r="A463" s="217">
        <v>178.0</v>
      </c>
      <c r="B463" s="216">
        <v>46181.0</v>
      </c>
      <c r="C463" s="217">
        <v>100.0</v>
      </c>
      <c r="D463" s="217" t="s">
        <v>541</v>
      </c>
      <c r="E463" s="212"/>
      <c r="F463" s="220"/>
      <c r="G463" s="217" t="s">
        <v>905</v>
      </c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</row>
    <row r="464" ht="15.75" customHeight="1">
      <c r="A464" s="222">
        <v>178.0</v>
      </c>
      <c r="B464" s="221">
        <v>46181.0</v>
      </c>
      <c r="C464" s="227">
        <v>1650.0</v>
      </c>
      <c r="D464" s="222" t="s">
        <v>155</v>
      </c>
      <c r="E464" s="212"/>
      <c r="F464" s="220"/>
      <c r="G464" s="222">
        <v>95632.0</v>
      </c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</row>
    <row r="465" ht="15.75" customHeight="1">
      <c r="A465" s="217">
        <v>178.0</v>
      </c>
      <c r="B465" s="216">
        <v>46180.0</v>
      </c>
      <c r="C465" s="217">
        <v>202.5</v>
      </c>
      <c r="D465" s="217" t="s">
        <v>583</v>
      </c>
      <c r="E465" s="212"/>
      <c r="F465" s="220"/>
      <c r="G465" s="217" t="s">
        <v>919</v>
      </c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</row>
    <row r="466" ht="15.75" customHeight="1">
      <c r="A466" s="222">
        <v>178.0</v>
      </c>
      <c r="B466" s="221">
        <v>46179.0</v>
      </c>
      <c r="C466" s="222">
        <v>100.0</v>
      </c>
      <c r="D466" s="222" t="s">
        <v>541</v>
      </c>
      <c r="E466" s="212"/>
      <c r="F466" s="220"/>
      <c r="G466" s="222">
        <v>614.0</v>
      </c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</row>
    <row r="467" ht="15.75" customHeight="1">
      <c r="A467" s="217">
        <v>178.0</v>
      </c>
      <c r="B467" s="216">
        <v>46179.0</v>
      </c>
      <c r="C467" s="217">
        <v>275.0</v>
      </c>
      <c r="D467" s="217" t="s">
        <v>797</v>
      </c>
      <c r="E467" s="212"/>
      <c r="F467" s="220"/>
      <c r="G467" s="217">
        <v>615.0</v>
      </c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</row>
    <row r="468" ht="15.75" customHeight="1">
      <c r="A468" s="222">
        <v>178.0</v>
      </c>
      <c r="B468" s="221">
        <v>46179.0</v>
      </c>
      <c r="C468" s="222">
        <v>275.0</v>
      </c>
      <c r="D468" s="222" t="s">
        <v>723</v>
      </c>
      <c r="E468" s="212"/>
      <c r="F468" s="220"/>
      <c r="G468" s="222">
        <v>615.0</v>
      </c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</row>
    <row r="469" ht="15.75" customHeight="1">
      <c r="A469" s="217">
        <v>178.0</v>
      </c>
      <c r="B469" s="216">
        <v>46179.0</v>
      </c>
      <c r="C469" s="217">
        <v>170.0</v>
      </c>
      <c r="D469" s="217" t="s">
        <v>721</v>
      </c>
      <c r="E469" s="212"/>
      <c r="F469" s="220"/>
      <c r="G469" s="217">
        <v>621.0</v>
      </c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</row>
    <row r="470" ht="15.75" customHeight="1">
      <c r="A470" s="222">
        <v>178.0</v>
      </c>
      <c r="B470" s="221">
        <v>46179.0</v>
      </c>
      <c r="C470" s="222">
        <v>275.0</v>
      </c>
      <c r="D470" s="222" t="s">
        <v>723</v>
      </c>
      <c r="E470" s="212"/>
      <c r="F470" s="220"/>
      <c r="G470" s="222">
        <v>622.0</v>
      </c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</row>
    <row r="471" ht="15.75" customHeight="1">
      <c r="A471" s="217">
        <v>178.0</v>
      </c>
      <c r="B471" s="216">
        <v>46179.0</v>
      </c>
      <c r="C471" s="217">
        <v>275.0</v>
      </c>
      <c r="D471" s="217" t="s">
        <v>797</v>
      </c>
      <c r="E471" s="212"/>
      <c r="F471" s="220"/>
      <c r="G471" s="217">
        <v>623.0</v>
      </c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</row>
    <row r="472" ht="15.75" customHeight="1">
      <c r="A472" s="222">
        <v>178.0</v>
      </c>
      <c r="B472" s="221">
        <v>46179.0</v>
      </c>
      <c r="C472" s="222">
        <v>100.0</v>
      </c>
      <c r="D472" s="222" t="s">
        <v>915</v>
      </c>
      <c r="E472" s="212"/>
      <c r="F472" s="220"/>
      <c r="G472" s="222" t="s">
        <v>920</v>
      </c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</row>
    <row r="473" ht="15.75" customHeight="1">
      <c r="A473" s="217">
        <v>178.0</v>
      </c>
      <c r="B473" s="216">
        <v>46179.0</v>
      </c>
      <c r="C473" s="217">
        <v>100.0</v>
      </c>
      <c r="D473" s="217" t="s">
        <v>596</v>
      </c>
      <c r="E473" s="212"/>
      <c r="F473" s="220"/>
      <c r="G473" s="217" t="s">
        <v>921</v>
      </c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</row>
    <row r="474" ht="15.75" customHeight="1">
      <c r="A474" s="222">
        <v>178.0</v>
      </c>
      <c r="B474" s="221">
        <v>46179.0</v>
      </c>
      <c r="C474" s="222">
        <v>100.0</v>
      </c>
      <c r="D474" s="222" t="s">
        <v>909</v>
      </c>
      <c r="E474" s="212"/>
      <c r="F474" s="220"/>
      <c r="G474" s="222" t="s">
        <v>922</v>
      </c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</row>
    <row r="475" ht="15.75" customHeight="1">
      <c r="A475" s="217">
        <v>178.0</v>
      </c>
      <c r="B475" s="216">
        <v>46179.0</v>
      </c>
      <c r="C475" s="217">
        <v>100.0</v>
      </c>
      <c r="D475" s="217" t="s">
        <v>880</v>
      </c>
      <c r="E475" s="212"/>
      <c r="F475" s="220"/>
      <c r="G475" s="217" t="s">
        <v>920</v>
      </c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</row>
    <row r="476" ht="15.75" customHeight="1">
      <c r="A476" s="222">
        <v>178.0</v>
      </c>
      <c r="B476" s="221">
        <v>46179.0</v>
      </c>
      <c r="C476" s="222">
        <v>100.0</v>
      </c>
      <c r="D476" s="222" t="s">
        <v>596</v>
      </c>
      <c r="E476" s="212"/>
      <c r="F476" s="220"/>
      <c r="G476" s="222" t="s">
        <v>923</v>
      </c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</row>
    <row r="477" ht="15.75" customHeight="1">
      <c r="A477" s="217">
        <v>178.0</v>
      </c>
      <c r="B477" s="216">
        <v>46179.0</v>
      </c>
      <c r="C477" s="217">
        <v>100.01</v>
      </c>
      <c r="D477" s="217" t="s">
        <v>596</v>
      </c>
      <c r="E477" s="212"/>
      <c r="F477" s="220"/>
      <c r="G477" s="217" t="s">
        <v>924</v>
      </c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</row>
    <row r="478" ht="15.75" customHeight="1">
      <c r="A478" s="222">
        <v>178.0</v>
      </c>
      <c r="B478" s="221">
        <v>46178.0</v>
      </c>
      <c r="C478" s="222">
        <v>100.0</v>
      </c>
      <c r="D478" s="222" t="s">
        <v>541</v>
      </c>
      <c r="E478" s="212"/>
      <c r="F478" s="220"/>
      <c r="G478" s="222" t="s">
        <v>925</v>
      </c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</row>
    <row r="479" ht="15.75" customHeight="1">
      <c r="A479" s="217">
        <v>178.0</v>
      </c>
      <c r="B479" s="216">
        <v>46178.0</v>
      </c>
      <c r="C479" s="217">
        <v>681.0</v>
      </c>
      <c r="D479" s="217" t="s">
        <v>155</v>
      </c>
      <c r="E479" s="212"/>
      <c r="F479" s="220"/>
      <c r="G479" s="217" t="s">
        <v>926</v>
      </c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</row>
    <row r="480" ht="15.75" customHeight="1">
      <c r="A480" s="222">
        <v>178.0</v>
      </c>
      <c r="B480" s="221">
        <v>46178.0</v>
      </c>
      <c r="C480" s="222">
        <v>202.5</v>
      </c>
      <c r="D480" s="222" t="s">
        <v>451</v>
      </c>
      <c r="E480" s="212"/>
      <c r="F480" s="220"/>
      <c r="G480" s="222" t="s">
        <v>8</v>
      </c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</row>
    <row r="481" ht="15.75" customHeight="1">
      <c r="A481" s="217">
        <v>178.0</v>
      </c>
      <c r="B481" s="216">
        <v>46178.0</v>
      </c>
      <c r="C481" s="224">
        <v>5281.71</v>
      </c>
      <c r="D481" s="217" t="s">
        <v>927</v>
      </c>
      <c r="E481" s="212"/>
      <c r="F481" s="220"/>
      <c r="G481" s="217">
        <v>556.0</v>
      </c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</row>
    <row r="482" ht="15.75" customHeight="1">
      <c r="A482" s="222">
        <v>178.0</v>
      </c>
      <c r="B482" s="221">
        <v>46178.0</v>
      </c>
      <c r="C482" s="227">
        <v>3302.03</v>
      </c>
      <c r="D482" s="222" t="s">
        <v>797</v>
      </c>
      <c r="E482" s="212"/>
      <c r="F482" s="220"/>
      <c r="G482" s="222">
        <v>50601.0</v>
      </c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</row>
    <row r="483">
      <c r="A483" s="217">
        <v>178.0</v>
      </c>
      <c r="B483" s="216">
        <v>46177.0</v>
      </c>
      <c r="C483" s="217">
        <v>100.0</v>
      </c>
      <c r="D483" s="217" t="s">
        <v>596</v>
      </c>
      <c r="E483" s="212"/>
      <c r="F483" s="220"/>
      <c r="G483" s="217" t="s">
        <v>8</v>
      </c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</row>
    <row r="484" ht="15.75" customHeight="1">
      <c r="A484" s="222">
        <v>178.0</v>
      </c>
      <c r="B484" s="221">
        <v>46176.0</v>
      </c>
      <c r="C484" s="222">
        <v>861.0</v>
      </c>
      <c r="D484" s="222" t="s">
        <v>155</v>
      </c>
      <c r="E484" s="212"/>
      <c r="F484" s="220"/>
      <c r="G484" s="222" t="s">
        <v>928</v>
      </c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</row>
    <row r="485" ht="15.75" customHeight="1">
      <c r="A485" s="217">
        <v>178.0</v>
      </c>
      <c r="B485" s="216">
        <v>46176.0</v>
      </c>
      <c r="C485" s="217">
        <v>202.5</v>
      </c>
      <c r="D485" s="217" t="s">
        <v>463</v>
      </c>
      <c r="E485" s="212"/>
      <c r="F485" s="220"/>
      <c r="G485" s="217" t="s">
        <v>882</v>
      </c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</row>
    <row r="486" ht="15.75" customHeight="1">
      <c r="A486" s="222">
        <v>178.0</v>
      </c>
      <c r="B486" s="221">
        <v>46176.0</v>
      </c>
      <c r="C486" s="227">
        <v>7000.0</v>
      </c>
      <c r="D486" s="222" t="s">
        <v>929</v>
      </c>
      <c r="E486" s="212"/>
      <c r="F486" s="220"/>
      <c r="G486" s="222">
        <v>3062026.0</v>
      </c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</row>
    <row r="487" ht="15.75" customHeight="1">
      <c r="A487" s="217">
        <v>178.0</v>
      </c>
      <c r="B487" s="216">
        <v>46175.0</v>
      </c>
      <c r="C487" s="217">
        <v>100.0</v>
      </c>
      <c r="D487" s="217" t="s">
        <v>596</v>
      </c>
      <c r="E487" s="212"/>
      <c r="F487" s="220"/>
      <c r="G487" s="217" t="s">
        <v>930</v>
      </c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</row>
    <row r="488" ht="15.75" customHeight="1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</row>
    <row r="489" ht="15.75" customHeight="1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</row>
    <row r="490" ht="15.75" customHeight="1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</row>
    <row r="491" ht="15.75" customHeight="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</row>
    <row r="492" ht="15.75" customHeight="1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</row>
    <row r="493" ht="15.75" customHeight="1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</row>
    <row r="494" ht="15.75" customHeight="1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</row>
    <row r="495" ht="15.75" customHeight="1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</row>
    <row r="496" ht="15.75" customHeight="1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</row>
    <row r="497" ht="15.75" customHeight="1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</row>
    <row r="498" ht="15.75" customHeight="1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</row>
    <row r="499" ht="15.75" customHeight="1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</row>
    <row r="500" ht="15.75" customHeight="1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</row>
    <row r="501" ht="15.75" customHeight="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</row>
    <row r="502" ht="15.75" customHeight="1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</row>
    <row r="503" ht="15.75" customHeight="1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</row>
    <row r="504" ht="15.75" customHeight="1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</row>
    <row r="505" ht="15.75" customHeight="1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</row>
    <row r="506" ht="15.75" customHeight="1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</row>
    <row r="507" ht="15.75" customHeight="1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</row>
    <row r="508" ht="15.75" customHeight="1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</row>
    <row r="509" ht="15.75" customHeight="1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</row>
    <row r="510" ht="15.75" customHeight="1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</row>
    <row r="511" ht="15.75" customHeight="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</row>
    <row r="512" ht="15.75" customHeight="1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</row>
    <row r="513" ht="15.75" customHeight="1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</row>
    <row r="514" ht="15.75" customHeight="1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</row>
    <row r="515" ht="15.75" customHeight="1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</row>
    <row r="516" ht="15.75" customHeight="1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</row>
    <row r="517" ht="15.75" customHeight="1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</row>
    <row r="518" ht="15.75" customHeight="1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</row>
    <row r="519" ht="15.75" customHeight="1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</row>
    <row r="520" ht="15.75" customHeight="1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</row>
    <row r="521" ht="15.75" customHeight="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</row>
    <row r="522" ht="15.75" customHeight="1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</row>
    <row r="523" ht="15.75" customHeight="1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</row>
    <row r="524" ht="15.75" customHeight="1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</row>
    <row r="525" ht="15.75" customHeight="1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</row>
    <row r="526" ht="15.75" customHeight="1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</row>
    <row r="527" ht="15.75" customHeight="1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</row>
    <row r="528" ht="15.75" customHeight="1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</row>
    <row r="529" ht="15.75" customHeight="1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</row>
    <row r="530" ht="15.75" customHeight="1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</row>
    <row r="531" ht="15.75" customHeight="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</row>
    <row r="532" ht="15.75" customHeight="1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</row>
    <row r="533" ht="15.75" customHeight="1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</row>
    <row r="534" ht="15.75" customHeight="1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</row>
    <row r="535" ht="15.75" customHeight="1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</row>
    <row r="536" ht="15.75" customHeight="1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</row>
    <row r="537" ht="15.75" customHeight="1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</row>
    <row r="538" ht="15.75" customHeight="1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</row>
    <row r="539" ht="15.75" customHeight="1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</row>
    <row r="540" ht="15.75" customHeight="1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</row>
    <row r="541" ht="15.75" customHeight="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</row>
    <row r="542" ht="15.75" customHeight="1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</row>
    <row r="543" ht="15.75" customHeight="1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</row>
    <row r="544" ht="15.75" customHeight="1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</row>
    <row r="545" ht="15.75" customHeight="1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</row>
    <row r="546" ht="15.75" customHeight="1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</row>
    <row r="547" ht="15.75" customHeight="1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</row>
    <row r="548" ht="15.75" customHeight="1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</row>
    <row r="549" ht="15.75" customHeight="1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</row>
    <row r="550" ht="15.75" customHeight="1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</row>
    <row r="551" ht="15.75" customHeight="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</row>
    <row r="552" ht="15.75" customHeight="1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</row>
    <row r="553" ht="15.75" customHeight="1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</row>
    <row r="554" ht="15.75" customHeight="1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</row>
    <row r="555" ht="15.75" customHeight="1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</row>
    <row r="556" ht="15.75" customHeight="1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</row>
    <row r="557" ht="15.75" customHeight="1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</row>
    <row r="558" ht="15.75" customHeight="1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</row>
    <row r="559" ht="15.75" customHeight="1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</row>
    <row r="560" ht="15.75" customHeight="1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</row>
    <row r="561" ht="15.75" customHeight="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</row>
    <row r="562" ht="15.75" customHeight="1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</row>
    <row r="563" ht="15.75" customHeight="1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</row>
    <row r="564" ht="15.75" customHeight="1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</row>
    <row r="565" ht="15.75" customHeight="1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</row>
    <row r="566" ht="15.75" customHeight="1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</row>
    <row r="567" ht="15.75" customHeight="1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</row>
    <row r="568" ht="15.75" customHeight="1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</row>
    <row r="569" ht="15.75" customHeight="1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</row>
    <row r="570" ht="15.75" customHeight="1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</row>
    <row r="571" ht="15.75" customHeight="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</row>
    <row r="572" ht="15.75" customHeight="1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</row>
    <row r="573" ht="15.75" customHeight="1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</row>
    <row r="574" ht="15.75" customHeight="1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</row>
    <row r="575" ht="15.75" customHeight="1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</row>
    <row r="576" ht="15.75" customHeight="1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</row>
    <row r="577" ht="15.75" customHeight="1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</row>
    <row r="578" ht="15.75" customHeight="1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</row>
    <row r="579" ht="15.75" customHeight="1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</row>
    <row r="580" ht="15.75" customHeight="1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</row>
    <row r="581" ht="15.75" customHeight="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</row>
    <row r="582" ht="15.75" customHeight="1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</row>
    <row r="583" ht="15.75" customHeight="1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</row>
    <row r="584" ht="15.75" customHeight="1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</row>
    <row r="585" ht="15.75" customHeight="1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</row>
    <row r="586" ht="15.75" customHeight="1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</row>
    <row r="587" ht="15.75" customHeight="1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</row>
    <row r="588" ht="15.75" customHeight="1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</row>
    <row r="589" ht="15.75" customHeight="1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</row>
    <row r="590" ht="15.75" customHeight="1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</row>
    <row r="591" ht="15.75" customHeight="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</row>
    <row r="592" ht="15.75" customHeight="1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</row>
    <row r="593" ht="15.75" customHeight="1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</row>
    <row r="594" ht="15.75" customHeight="1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</row>
    <row r="595" ht="15.75" customHeight="1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</row>
    <row r="596" ht="15.75" customHeight="1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</row>
    <row r="597" ht="15.75" customHeight="1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</row>
    <row r="598" ht="15.75" customHeight="1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</row>
    <row r="599" ht="15.75" customHeight="1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</row>
    <row r="600" ht="15.75" customHeight="1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</row>
    <row r="601" ht="15.75" customHeight="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</row>
    <row r="602" ht="15.75" customHeight="1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</row>
    <row r="603" ht="15.75" customHeight="1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</row>
    <row r="604" ht="15.75" customHeight="1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</row>
    <row r="605" ht="15.75" customHeight="1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</row>
    <row r="606" ht="15.75" customHeight="1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</row>
    <row r="607" ht="15.75" customHeight="1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</row>
    <row r="608" ht="15.75" customHeight="1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</row>
    <row r="609" ht="15.75" customHeight="1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</row>
    <row r="610" ht="15.75" customHeight="1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</row>
    <row r="611" ht="15.75" customHeight="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</row>
    <row r="612" ht="15.75" customHeight="1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</row>
    <row r="613" ht="15.75" customHeight="1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</row>
    <row r="614" ht="15.75" customHeight="1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</row>
    <row r="615" ht="15.75" customHeight="1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</row>
    <row r="616" ht="15.75" customHeight="1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</row>
    <row r="617" ht="15.75" customHeight="1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</row>
    <row r="618" ht="15.75" customHeight="1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</row>
    <row r="619" ht="15.75" customHeight="1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</row>
    <row r="620" ht="15.75" customHeight="1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</row>
    <row r="621" ht="15.75" customHeight="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</row>
    <row r="622" ht="15.75" customHeight="1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</row>
    <row r="623" ht="15.75" customHeight="1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</row>
    <row r="624" ht="15.75" customHeight="1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</row>
    <row r="625" ht="15.75" customHeight="1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</row>
    <row r="626" ht="15.75" customHeight="1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</row>
    <row r="627" ht="15.75" customHeight="1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</row>
    <row r="628" ht="15.75" customHeight="1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</row>
    <row r="629" ht="15.75" customHeight="1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</row>
    <row r="630" ht="15.75" customHeight="1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</row>
    <row r="631" ht="15.75" customHeight="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</row>
    <row r="632" ht="15.75" customHeight="1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</row>
    <row r="633" ht="15.75" customHeight="1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</row>
    <row r="634" ht="15.75" customHeight="1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</row>
    <row r="635" ht="15.75" customHeight="1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</row>
    <row r="636" ht="15.75" customHeight="1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</row>
    <row r="637" ht="15.75" customHeight="1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</row>
    <row r="638" ht="15.75" customHeight="1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</row>
    <row r="639" ht="15.75" customHeight="1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</row>
    <row r="640" ht="15.75" customHeight="1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</row>
    <row r="641" ht="15.75" customHeight="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</row>
    <row r="642" ht="15.75" customHeight="1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</row>
    <row r="643" ht="15.75" customHeight="1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</row>
    <row r="644" ht="15.75" customHeight="1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</row>
    <row r="645" ht="15.75" customHeight="1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</row>
    <row r="646" ht="15.75" customHeight="1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</row>
    <row r="647" ht="15.75" customHeight="1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</row>
    <row r="648" ht="15.75" customHeight="1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</row>
    <row r="649" ht="15.75" customHeight="1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</row>
    <row r="650" ht="15.75" customHeight="1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</row>
    <row r="651" ht="15.75" customHeight="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</row>
    <row r="652" ht="15.75" customHeight="1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</row>
    <row r="653" ht="15.75" customHeight="1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</row>
    <row r="654" ht="15.75" customHeight="1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</row>
    <row r="655" ht="15.75" customHeight="1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</row>
    <row r="656" ht="15.75" customHeight="1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</row>
    <row r="657" ht="15.75" customHeight="1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</row>
    <row r="658" ht="15.75" customHeight="1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</row>
    <row r="659" ht="15.75" customHeight="1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</row>
    <row r="660" ht="15.75" customHeight="1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</row>
    <row r="661" ht="15.75" customHeight="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</row>
    <row r="662" ht="15.75" customHeight="1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</row>
    <row r="663" ht="15.75" customHeight="1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</row>
    <row r="664" ht="15.75" customHeight="1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</row>
    <row r="665" ht="15.75" customHeight="1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</row>
    <row r="666" ht="15.75" customHeight="1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</row>
    <row r="667" ht="15.75" customHeight="1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</row>
    <row r="668" ht="15.75" customHeight="1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</row>
    <row r="669" ht="15.75" customHeight="1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</row>
    <row r="670" ht="15.75" customHeight="1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</row>
    <row r="671" ht="15.75" customHeight="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</row>
    <row r="672" ht="15.75" customHeight="1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</row>
    <row r="673" ht="15.75" customHeight="1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</row>
    <row r="674" ht="15.75" customHeight="1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</row>
    <row r="675" ht="15.75" customHeight="1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</row>
    <row r="676" ht="15.75" customHeight="1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</row>
    <row r="677" ht="15.75" customHeight="1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</row>
    <row r="678" ht="15.75" customHeight="1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</row>
    <row r="679" ht="15.75" customHeight="1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</row>
    <row r="680" ht="15.75" customHeight="1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</row>
    <row r="681" ht="15.75" customHeight="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</row>
    <row r="682" ht="15.75" customHeight="1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</row>
    <row r="683" ht="15.75" customHeight="1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</row>
    <row r="684" ht="15.75" customHeight="1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</row>
    <row r="685" ht="15.75" customHeight="1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</row>
    <row r="686" ht="15.75" customHeight="1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</row>
    <row r="687" ht="15.75" customHeight="1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</row>
    <row r="688" ht="15.75" customHeight="1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</row>
    <row r="689" ht="15.75" customHeight="1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</row>
    <row r="690" ht="15.75" customHeight="1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</row>
    <row r="691" ht="15.75" customHeight="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</row>
    <row r="692" ht="15.75" customHeight="1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</row>
    <row r="693" ht="15.75" customHeight="1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</row>
    <row r="694" ht="15.75" customHeight="1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</row>
    <row r="695" ht="15.75" customHeight="1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</row>
    <row r="696" ht="15.75" customHeight="1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</row>
    <row r="697" ht="15.75" customHeight="1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</row>
    <row r="698" ht="15.75" customHeight="1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</row>
    <row r="699" ht="15.75" customHeight="1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</row>
    <row r="700" ht="15.75" customHeight="1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</row>
    <row r="701" ht="15.75" customHeight="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</row>
    <row r="702" ht="15.75" customHeight="1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</row>
    <row r="703" ht="15.75" customHeight="1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</row>
    <row r="704" ht="15.75" customHeight="1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</row>
    <row r="705" ht="15.75" customHeight="1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</row>
    <row r="706" ht="15.75" customHeight="1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</row>
    <row r="707" ht="15.75" customHeight="1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</row>
    <row r="708" ht="15.75" customHeight="1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</row>
    <row r="709" ht="15.75" customHeight="1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</row>
    <row r="710" ht="15.75" customHeight="1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</row>
    <row r="711" ht="15.75" customHeight="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</row>
    <row r="712" ht="15.75" customHeight="1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</row>
    <row r="713" ht="15.75" customHeight="1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</row>
    <row r="714" ht="15.75" customHeight="1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</row>
    <row r="715" ht="15.75" customHeight="1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</row>
    <row r="716" ht="15.75" customHeight="1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</row>
    <row r="717" ht="15.75" customHeight="1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</row>
    <row r="718" ht="15.75" customHeight="1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</row>
    <row r="719" ht="15.75" customHeight="1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</row>
    <row r="720" ht="15.75" customHeight="1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</row>
    <row r="721" ht="15.75" customHeight="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</row>
    <row r="722" ht="15.75" customHeight="1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</row>
    <row r="723" ht="15.75" customHeight="1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</row>
    <row r="724" ht="15.75" customHeight="1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</row>
    <row r="725" ht="15.75" customHeight="1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</row>
    <row r="726" ht="15.75" customHeight="1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</row>
    <row r="727" ht="15.75" customHeight="1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</row>
    <row r="728" ht="15.75" customHeight="1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</row>
    <row r="729" ht="15.75" customHeight="1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</row>
    <row r="730" ht="15.75" customHeight="1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</row>
    <row r="731" ht="15.75" customHeight="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</row>
    <row r="732" ht="15.75" customHeight="1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</row>
    <row r="733" ht="15.75" customHeight="1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</row>
    <row r="734" ht="15.75" customHeight="1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</row>
    <row r="735" ht="15.75" customHeight="1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</row>
    <row r="736" ht="15.75" customHeight="1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</row>
    <row r="737" ht="15.75" customHeight="1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</row>
    <row r="738" ht="15.75" customHeight="1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</row>
    <row r="739" ht="15.75" customHeight="1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</row>
    <row r="740" ht="15.75" customHeight="1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</row>
    <row r="741" ht="15.75" customHeight="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</row>
    <row r="742" ht="15.75" customHeight="1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</row>
    <row r="743" ht="15.75" customHeight="1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</row>
    <row r="744" ht="15.75" customHeight="1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</row>
    <row r="745" ht="15.75" customHeight="1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</row>
    <row r="746" ht="15.75" customHeight="1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</row>
    <row r="747" ht="15.75" customHeight="1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</row>
    <row r="748" ht="15.75" customHeight="1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</row>
    <row r="749" ht="15.75" customHeight="1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</row>
    <row r="750" ht="15.75" customHeight="1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</row>
    <row r="751" ht="15.75" customHeight="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</row>
    <row r="752" ht="15.75" customHeight="1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</row>
    <row r="753" ht="15.75" customHeight="1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</row>
    <row r="754" ht="15.75" customHeight="1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</row>
    <row r="755" ht="15.75" customHeight="1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</row>
    <row r="756" ht="15.75" customHeight="1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</row>
    <row r="757" ht="15.75" customHeight="1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</row>
    <row r="758" ht="15.75" customHeight="1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</row>
    <row r="759" ht="15.75" customHeight="1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</row>
    <row r="760" ht="15.75" customHeight="1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</row>
    <row r="761" ht="15.75" customHeight="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</row>
    <row r="762" ht="15.75" customHeight="1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</row>
    <row r="763" ht="15.75" customHeight="1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</row>
    <row r="764" ht="15.75" customHeight="1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</row>
    <row r="765" ht="15.75" customHeight="1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</row>
    <row r="766" ht="15.75" customHeight="1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</row>
    <row r="767" ht="15.75" customHeight="1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</row>
    <row r="768" ht="15.75" customHeight="1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</row>
    <row r="769" ht="15.75" customHeight="1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</row>
    <row r="770" ht="15.75" customHeight="1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</row>
    <row r="771" ht="15.75" customHeight="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</row>
    <row r="772" ht="15.75" customHeight="1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</row>
    <row r="773" ht="15.75" customHeight="1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</row>
    <row r="774" ht="15.75" customHeight="1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</row>
    <row r="775" ht="15.75" customHeight="1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</row>
    <row r="776" ht="15.75" customHeight="1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</row>
    <row r="777" ht="15.75" customHeight="1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</row>
    <row r="778" ht="15.75" customHeight="1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</row>
    <row r="779" ht="15.75" customHeight="1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</row>
    <row r="780" ht="15.75" customHeight="1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</row>
    <row r="781" ht="15.75" customHeight="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</row>
    <row r="782" ht="15.75" customHeight="1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</row>
    <row r="783" ht="15.75" customHeight="1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</row>
    <row r="784" ht="15.75" customHeight="1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</row>
    <row r="785" ht="15.75" customHeight="1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</row>
    <row r="786" ht="15.75" customHeight="1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</row>
    <row r="787" ht="15.75" customHeight="1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</row>
    <row r="788" ht="15.75" customHeight="1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</row>
    <row r="789" ht="15.75" customHeight="1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</row>
    <row r="790" ht="15.75" customHeight="1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</row>
    <row r="791" ht="15.75" customHeight="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</row>
    <row r="792" ht="15.75" customHeight="1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</row>
    <row r="793" ht="15.75" customHeight="1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</row>
    <row r="794" ht="15.75" customHeight="1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</row>
    <row r="795" ht="15.75" customHeight="1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</row>
    <row r="796" ht="15.75" customHeight="1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</row>
    <row r="797" ht="15.75" customHeight="1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</row>
    <row r="798" ht="15.75" customHeight="1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</row>
    <row r="799" ht="15.75" customHeight="1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</row>
    <row r="800" ht="15.75" customHeight="1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</row>
    <row r="801" ht="15.75" customHeight="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</row>
    <row r="802" ht="15.75" customHeight="1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</row>
    <row r="803" ht="15.75" customHeight="1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</row>
    <row r="804" ht="15.75" customHeight="1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</row>
    <row r="805" ht="15.75" customHeight="1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</row>
    <row r="806" ht="15.75" customHeight="1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</row>
    <row r="807" ht="15.75" customHeight="1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</row>
    <row r="808" ht="15.75" customHeight="1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</row>
    <row r="809" ht="15.75" customHeight="1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</row>
    <row r="810" ht="15.75" customHeight="1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</row>
    <row r="811" ht="15.75" customHeight="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</row>
    <row r="812" ht="15.75" customHeight="1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</row>
    <row r="813" ht="15.75" customHeight="1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</row>
    <row r="814" ht="15.75" customHeight="1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</row>
    <row r="815" ht="15.75" customHeight="1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</row>
    <row r="816" ht="15.75" customHeight="1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</row>
    <row r="817" ht="15.75" customHeight="1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</row>
    <row r="818" ht="15.75" customHeight="1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</row>
    <row r="819" ht="15.75" customHeight="1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</row>
    <row r="820" ht="15.75" customHeight="1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</row>
    <row r="821" ht="15.75" customHeight="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</row>
    <row r="822" ht="15.75" customHeight="1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</row>
    <row r="823" ht="15.75" customHeight="1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</row>
    <row r="824" ht="15.75" customHeight="1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</row>
    <row r="825" ht="15.75" customHeight="1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</row>
    <row r="826" ht="15.75" customHeight="1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</row>
    <row r="827" ht="15.75" customHeight="1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</row>
    <row r="828" ht="15.75" customHeight="1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</row>
    <row r="829" ht="15.75" customHeight="1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</row>
    <row r="830" ht="15.75" customHeight="1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</row>
    <row r="831" ht="15.75" customHeight="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</row>
    <row r="832" ht="15.75" customHeight="1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</row>
    <row r="833" ht="15.75" customHeight="1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</row>
    <row r="834" ht="15.75" customHeight="1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</row>
    <row r="835" ht="15.75" customHeight="1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</row>
    <row r="836" ht="15.75" customHeight="1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</row>
    <row r="837" ht="15.75" customHeight="1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</row>
    <row r="838" ht="15.75" customHeight="1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</row>
    <row r="839" ht="15.75" customHeight="1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</row>
    <row r="840" ht="15.75" customHeight="1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</row>
    <row r="841" ht="15.75" customHeight="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</row>
    <row r="842" ht="15.75" customHeight="1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</row>
    <row r="843" ht="15.75" customHeight="1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</row>
    <row r="844" ht="15.75" customHeight="1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</row>
    <row r="845" ht="15.75" customHeight="1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</row>
    <row r="846" ht="15.75" customHeight="1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</row>
    <row r="847" ht="15.75" customHeight="1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</row>
    <row r="848" ht="15.75" customHeight="1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</row>
    <row r="849" ht="15.75" customHeight="1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</row>
    <row r="850" ht="15.75" customHeigh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</row>
    <row r="851" ht="15.75" customHeight="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</row>
    <row r="852" ht="15.75" customHeight="1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</row>
    <row r="853" ht="15.75" customHeight="1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</row>
    <row r="854" ht="15.75" customHeight="1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</row>
    <row r="855" ht="15.75" customHeight="1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</row>
    <row r="856" ht="15.75" customHeight="1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</row>
    <row r="857" ht="15.75" customHeight="1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</row>
    <row r="858" ht="15.75" customHeight="1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</row>
    <row r="859" ht="15.75" customHeight="1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</row>
    <row r="860" ht="15.75" customHeight="1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</row>
    <row r="861" ht="15.75" customHeight="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</row>
    <row r="862" ht="15.75" customHeight="1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</row>
    <row r="863" ht="15.75" customHeight="1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</row>
    <row r="864" ht="15.75" customHeight="1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</row>
    <row r="865" ht="15.75" customHeight="1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</row>
    <row r="866" ht="15.75" customHeight="1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 ht="15.75" customHeight="1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</row>
    <row r="868" ht="15.75" customHeight="1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</row>
    <row r="869" ht="15.75" customHeight="1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</row>
    <row r="870" ht="15.75" customHeight="1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</row>
    <row r="871" ht="15.75" customHeight="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</row>
    <row r="872" ht="15.75" customHeight="1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</row>
    <row r="873" ht="15.75" customHeight="1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</row>
    <row r="874" ht="15.75" customHeight="1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</row>
    <row r="875" ht="15.75" customHeight="1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</row>
    <row r="876" ht="15.75" customHeight="1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</row>
    <row r="877" ht="15.75" customHeight="1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</row>
    <row r="878" ht="15.75" customHeight="1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</row>
    <row r="879" ht="15.75" customHeight="1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</row>
    <row r="880" ht="15.75" customHeight="1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</row>
    <row r="881" ht="15.75" customHeight="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</row>
    <row r="882" ht="15.75" customHeight="1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</row>
    <row r="883" ht="15.75" customHeight="1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</row>
    <row r="884" ht="15.75" customHeight="1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</row>
    <row r="885" ht="15.75" customHeight="1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</row>
    <row r="886" ht="15.75" customHeight="1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</row>
    <row r="887" ht="15.75" customHeight="1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</row>
    <row r="888" ht="15.75" customHeight="1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</row>
    <row r="889" ht="15.75" customHeight="1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</row>
    <row r="890" ht="15.75" customHeight="1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</row>
    <row r="891" ht="15.75" customHeight="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</row>
    <row r="892" ht="15.75" customHeight="1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</row>
    <row r="893" ht="15.75" customHeight="1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</row>
    <row r="894" ht="15.75" customHeight="1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</row>
    <row r="895" ht="15.75" customHeight="1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</row>
    <row r="896" ht="15.75" customHeight="1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</row>
    <row r="897" ht="15.75" customHeight="1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</row>
    <row r="898" ht="15.75" customHeight="1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</row>
    <row r="899" ht="15.75" customHeight="1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</row>
    <row r="900" ht="15.75" customHeight="1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</row>
    <row r="901" ht="15.75" customHeight="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</row>
    <row r="902" ht="15.75" customHeight="1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</row>
    <row r="903" ht="15.75" customHeight="1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</row>
    <row r="904" ht="15.75" customHeight="1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</row>
    <row r="905" ht="15.75" customHeight="1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</row>
    <row r="906" ht="15.75" customHeight="1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</row>
    <row r="907" ht="15.75" customHeight="1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</row>
    <row r="908" ht="15.75" customHeight="1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</row>
    <row r="909" ht="15.75" customHeight="1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</row>
    <row r="910" ht="15.75" customHeight="1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</row>
    <row r="911" ht="15.75" customHeight="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</row>
    <row r="912" ht="15.75" customHeight="1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</row>
    <row r="913" ht="15.75" customHeight="1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</row>
    <row r="914" ht="15.75" customHeight="1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</row>
    <row r="915" ht="15.75" customHeight="1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</row>
    <row r="916" ht="15.75" customHeight="1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</row>
    <row r="917" ht="15.75" customHeight="1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</row>
    <row r="918" ht="15.75" customHeight="1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</row>
    <row r="919" ht="15.75" customHeight="1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</row>
    <row r="920" ht="15.75" customHeight="1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</row>
    <row r="921" ht="15.75" customHeight="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</row>
    <row r="922" ht="15.75" customHeight="1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</row>
    <row r="923" ht="15.75" customHeight="1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</row>
    <row r="924" ht="15.75" customHeight="1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</row>
    <row r="925" ht="15.75" customHeight="1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</row>
    <row r="926" ht="15.75" customHeight="1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</row>
    <row r="927" ht="15.75" customHeight="1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</row>
    <row r="928" ht="15.75" customHeight="1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</row>
    <row r="929" ht="15.75" customHeight="1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</row>
    <row r="930" ht="15.75" customHeight="1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</row>
    <row r="931" ht="15.75" customHeight="1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</row>
    <row r="932" ht="15.75" customHeight="1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</row>
    <row r="933" ht="15.75" customHeight="1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</row>
    <row r="934" ht="15.75" customHeight="1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</row>
    <row r="935" ht="15.75" customHeight="1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</row>
    <row r="936" ht="15.75" customHeight="1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</row>
    <row r="937" ht="15.75" customHeight="1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</row>
    <row r="938" ht="15.75" customHeight="1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</row>
    <row r="939" ht="15.75" customHeight="1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</row>
    <row r="940" ht="15.75" customHeight="1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</row>
    <row r="941" ht="15.75" customHeight="1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</row>
    <row r="942" ht="15.75" customHeight="1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</row>
    <row r="943" ht="15.75" customHeigh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</row>
    <row r="944" ht="15.75" customHeight="1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</row>
    <row r="945" ht="15.75" customHeight="1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</row>
    <row r="946" ht="15.75" customHeight="1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</row>
    <row r="947" ht="15.75" customHeight="1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</row>
    <row r="948" ht="15.75" customHeight="1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</row>
    <row r="949" ht="15.75" customHeight="1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</row>
    <row r="950" ht="15.75" customHeight="1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</row>
    <row r="951" ht="15.75" customHeight="1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</row>
    <row r="952" ht="15.75" customHeight="1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</row>
    <row r="953" ht="15.75" customHeight="1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</row>
    <row r="954" ht="15.75" customHeight="1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</row>
    <row r="955" ht="15.75" customHeight="1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</row>
    <row r="956" ht="15.75" customHeight="1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</row>
    <row r="957" ht="15.75" customHeight="1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</row>
    <row r="958" ht="15.75" customHeight="1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</row>
    <row r="959" ht="15.75" customHeight="1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</row>
    <row r="960" ht="15.75" customHeight="1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</row>
    <row r="961" ht="15.75" customHeight="1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</row>
    <row r="962" ht="15.75" customHeight="1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</row>
    <row r="963" ht="15.75" customHeight="1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</row>
    <row r="964" ht="15.75" customHeight="1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</row>
    <row r="965" ht="15.75" customHeight="1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</row>
    <row r="966" ht="15.75" customHeight="1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</row>
    <row r="967" ht="15.75" customHeight="1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</row>
    <row r="968" ht="15.75" customHeight="1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</row>
    <row r="969" ht="15.75" customHeight="1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</row>
    <row r="970" ht="15.75" customHeight="1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</row>
    <row r="971" ht="15.75" customHeight="1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</row>
    <row r="972" ht="15.75" customHeight="1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</row>
    <row r="973" ht="15.75" customHeight="1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</row>
    <row r="974" ht="15.75" customHeight="1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</row>
    <row r="975" ht="15.75" customHeight="1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</row>
    <row r="976" ht="15.75" customHeight="1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</row>
    <row r="977" ht="15.75" customHeight="1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</row>
    <row r="978" ht="15.75" customHeight="1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</row>
    <row r="979" ht="15.75" customHeight="1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</row>
    <row r="980" ht="15.75" customHeight="1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</row>
    <row r="981" ht="15.75" customHeight="1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</row>
    <row r="982" ht="15.75" customHeight="1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</row>
    <row r="983" ht="15.75" customHeight="1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</row>
    <row r="984" ht="15.75" customHeight="1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</row>
    <row r="985" ht="15.75" customHeight="1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</row>
    <row r="986" ht="15.75" customHeight="1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</row>
    <row r="987" ht="15.75" customHeight="1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</row>
    <row r="988" ht="15.75" customHeight="1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</row>
    <row r="989" ht="15.75" customHeight="1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</row>
    <row r="990" ht="15.75" customHeight="1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</row>
    <row r="991" ht="15.75" customHeight="1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</row>
    <row r="992" ht="15.75" customHeight="1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</row>
    <row r="993" ht="15.75" customHeight="1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</row>
    <row r="994" ht="15.75" customHeight="1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</row>
    <row r="995" ht="15.75" customHeight="1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</row>
    <row r="996" ht="15.75" customHeight="1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</row>
    <row r="997" ht="15.75" customHeight="1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</row>
    <row r="998" ht="15.75" customHeight="1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</row>
    <row r="999" ht="15.75" customHeight="1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</row>
    <row r="1000" ht="15.75" customHeight="1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</row>
    <row r="1001" ht="15.75" customHeight="1">
      <c r="A1001" s="214"/>
      <c r="B1001" s="214"/>
      <c r="C1001" s="214"/>
      <c r="D1001" s="214"/>
      <c r="E1001" s="214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</row>
    <row r="1002" ht="15.75" customHeight="1">
      <c r="A1002" s="214"/>
      <c r="B1002" s="214"/>
      <c r="C1002" s="214"/>
      <c r="D1002" s="214"/>
      <c r="E1002" s="214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</row>
    <row r="1003" ht="15.75" customHeight="1">
      <c r="A1003" s="214"/>
      <c r="B1003" s="214"/>
      <c r="C1003" s="214"/>
      <c r="D1003" s="214"/>
      <c r="E1003" s="214"/>
      <c r="F1003" s="214"/>
      <c r="G1003" s="214"/>
      <c r="H1003" s="214"/>
      <c r="I1003" s="214"/>
      <c r="J1003" s="214"/>
      <c r="K1003" s="214"/>
      <c r="L1003" s="214"/>
      <c r="M1003" s="214"/>
      <c r="N1003" s="214"/>
      <c r="O1003" s="214"/>
      <c r="P1003" s="214"/>
      <c r="Q1003" s="214"/>
      <c r="R1003" s="214"/>
      <c r="S1003" s="214"/>
      <c r="T1003" s="214"/>
      <c r="U1003" s="214"/>
      <c r="V1003" s="214"/>
      <c r="W1003" s="214"/>
      <c r="X1003" s="214"/>
      <c r="Y1003" s="214"/>
      <c r="Z1003" s="214"/>
    </row>
    <row r="1004" ht="15.75" customHeight="1">
      <c r="A1004" s="214"/>
      <c r="B1004" s="214"/>
      <c r="C1004" s="214"/>
      <c r="D1004" s="214"/>
      <c r="E1004" s="214"/>
      <c r="F1004" s="214"/>
      <c r="G1004" s="214"/>
      <c r="H1004" s="214"/>
      <c r="I1004" s="214"/>
      <c r="J1004" s="214"/>
      <c r="K1004" s="214"/>
      <c r="L1004" s="214"/>
      <c r="M1004" s="214"/>
      <c r="N1004" s="214"/>
      <c r="O1004" s="214"/>
      <c r="P1004" s="214"/>
      <c r="Q1004" s="214"/>
      <c r="R1004" s="214"/>
      <c r="S1004" s="214"/>
      <c r="T1004" s="214"/>
      <c r="U1004" s="214"/>
      <c r="V1004" s="214"/>
      <c r="W1004" s="214"/>
      <c r="X1004" s="214"/>
      <c r="Y1004" s="214"/>
      <c r="Z1004" s="214"/>
    </row>
    <row r="1005" ht="15.75" customHeight="1">
      <c r="A1005" s="214"/>
      <c r="B1005" s="214"/>
      <c r="C1005" s="214"/>
      <c r="D1005" s="214"/>
      <c r="E1005" s="214"/>
      <c r="F1005" s="214"/>
      <c r="G1005" s="214"/>
      <c r="H1005" s="214"/>
      <c r="I1005" s="214"/>
      <c r="J1005" s="214"/>
      <c r="K1005" s="214"/>
      <c r="L1005" s="214"/>
      <c r="M1005" s="214"/>
      <c r="N1005" s="214"/>
      <c r="O1005" s="214"/>
      <c r="P1005" s="214"/>
      <c r="Q1005" s="214"/>
      <c r="R1005" s="214"/>
      <c r="S1005" s="214"/>
      <c r="T1005" s="214"/>
      <c r="U1005" s="214"/>
      <c r="V1005" s="214"/>
      <c r="W1005" s="214"/>
      <c r="X1005" s="214"/>
      <c r="Y1005" s="214"/>
      <c r="Z1005" s="214"/>
    </row>
    <row r="1006" ht="15.75" customHeight="1">
      <c r="A1006" s="214"/>
      <c r="B1006" s="214"/>
      <c r="C1006" s="214"/>
      <c r="D1006" s="214"/>
      <c r="E1006" s="214"/>
      <c r="F1006" s="214"/>
      <c r="G1006" s="214"/>
      <c r="H1006" s="214"/>
      <c r="I1006" s="214"/>
      <c r="J1006" s="214"/>
      <c r="K1006" s="214"/>
      <c r="L1006" s="214"/>
      <c r="M1006" s="214"/>
      <c r="N1006" s="214"/>
      <c r="O1006" s="214"/>
      <c r="P1006" s="214"/>
      <c r="Q1006" s="214"/>
      <c r="R1006" s="214"/>
      <c r="S1006" s="214"/>
      <c r="T1006" s="214"/>
      <c r="U1006" s="214"/>
      <c r="V1006" s="214"/>
      <c r="W1006" s="214"/>
      <c r="X1006" s="214"/>
      <c r="Y1006" s="214"/>
      <c r="Z1006" s="214"/>
    </row>
    <row r="1007" ht="15.75" customHeight="1">
      <c r="A1007" s="214"/>
      <c r="B1007" s="214"/>
      <c r="C1007" s="214"/>
      <c r="D1007" s="214"/>
      <c r="E1007" s="214"/>
      <c r="F1007" s="214"/>
      <c r="G1007" s="214"/>
      <c r="H1007" s="214"/>
      <c r="I1007" s="214"/>
      <c r="J1007" s="214"/>
      <c r="K1007" s="214"/>
      <c r="L1007" s="214"/>
      <c r="M1007" s="214"/>
      <c r="N1007" s="214"/>
      <c r="O1007" s="214"/>
      <c r="P1007" s="214"/>
      <c r="Q1007" s="214"/>
      <c r="R1007" s="214"/>
      <c r="S1007" s="214"/>
      <c r="T1007" s="214"/>
      <c r="U1007" s="214"/>
      <c r="V1007" s="214"/>
      <c r="W1007" s="214"/>
      <c r="X1007" s="214"/>
      <c r="Y1007" s="214"/>
      <c r="Z1007" s="214"/>
    </row>
    <row r="1008" ht="15.75" customHeight="1">
      <c r="A1008" s="214"/>
      <c r="B1008" s="214"/>
      <c r="C1008" s="214"/>
      <c r="D1008" s="214"/>
      <c r="E1008" s="214"/>
      <c r="F1008" s="214"/>
      <c r="G1008" s="214"/>
      <c r="H1008" s="214"/>
      <c r="I1008" s="214"/>
      <c r="J1008" s="214"/>
      <c r="K1008" s="214"/>
      <c r="L1008" s="214"/>
      <c r="M1008" s="214"/>
      <c r="N1008" s="214"/>
      <c r="O1008" s="214"/>
      <c r="P1008" s="214"/>
      <c r="Q1008" s="214"/>
      <c r="R1008" s="214"/>
      <c r="S1008" s="214"/>
      <c r="T1008" s="214"/>
      <c r="U1008" s="214"/>
      <c r="V1008" s="214"/>
      <c r="W1008" s="214"/>
      <c r="X1008" s="214"/>
      <c r="Y1008" s="214"/>
      <c r="Z1008" s="214"/>
    </row>
    <row r="1009" ht="15.75" customHeight="1">
      <c r="A1009" s="214"/>
      <c r="B1009" s="214"/>
      <c r="C1009" s="214"/>
      <c r="D1009" s="214"/>
      <c r="E1009" s="214"/>
      <c r="F1009" s="214"/>
      <c r="G1009" s="214"/>
      <c r="H1009" s="214"/>
      <c r="I1009" s="214"/>
      <c r="J1009" s="214"/>
      <c r="K1009" s="214"/>
      <c r="L1009" s="214"/>
      <c r="M1009" s="214"/>
      <c r="N1009" s="214"/>
      <c r="O1009" s="214"/>
      <c r="P1009" s="214"/>
      <c r="Q1009" s="214"/>
      <c r="R1009" s="214"/>
      <c r="S1009" s="214"/>
      <c r="T1009" s="214"/>
      <c r="U1009" s="214"/>
      <c r="V1009" s="214"/>
      <c r="W1009" s="214"/>
      <c r="X1009" s="214"/>
      <c r="Y1009" s="214"/>
      <c r="Z1009" s="214"/>
    </row>
    <row r="1010" ht="15.75" customHeight="1">
      <c r="A1010" s="214"/>
      <c r="B1010" s="214"/>
      <c r="C1010" s="214"/>
      <c r="D1010" s="214"/>
      <c r="E1010" s="214"/>
      <c r="F1010" s="214"/>
      <c r="G1010" s="214"/>
      <c r="H1010" s="214"/>
      <c r="I1010" s="214"/>
      <c r="J1010" s="214"/>
      <c r="K1010" s="214"/>
      <c r="L1010" s="214"/>
      <c r="M1010" s="214"/>
      <c r="N1010" s="214"/>
      <c r="O1010" s="214"/>
      <c r="P1010" s="214"/>
      <c r="Q1010" s="214"/>
      <c r="R1010" s="214"/>
      <c r="S1010" s="214"/>
      <c r="T1010" s="214"/>
      <c r="U1010" s="214"/>
      <c r="V1010" s="214"/>
      <c r="W1010" s="214"/>
      <c r="X1010" s="214"/>
      <c r="Y1010" s="214"/>
      <c r="Z1010" s="214"/>
    </row>
    <row r="1011" ht="15.75" customHeight="1">
      <c r="A1011" s="214"/>
      <c r="B1011" s="214"/>
      <c r="C1011" s="214"/>
      <c r="D1011" s="214"/>
      <c r="E1011" s="214"/>
      <c r="F1011" s="214"/>
      <c r="G1011" s="214"/>
      <c r="H1011" s="214"/>
      <c r="I1011" s="214"/>
      <c r="J1011" s="214"/>
      <c r="K1011" s="214"/>
      <c r="L1011" s="214"/>
      <c r="M1011" s="214"/>
      <c r="N1011" s="214"/>
      <c r="O1011" s="214"/>
      <c r="P1011" s="214"/>
      <c r="Q1011" s="214"/>
      <c r="R1011" s="214"/>
      <c r="S1011" s="214"/>
      <c r="T1011" s="214"/>
      <c r="U1011" s="214"/>
      <c r="V1011" s="214"/>
      <c r="W1011" s="214"/>
      <c r="X1011" s="214"/>
      <c r="Y1011" s="214"/>
      <c r="Z1011" s="214"/>
    </row>
    <row r="1012" ht="15.75" customHeight="1">
      <c r="A1012" s="214"/>
      <c r="B1012" s="214"/>
      <c r="C1012" s="214"/>
      <c r="D1012" s="214"/>
      <c r="E1012" s="214"/>
      <c r="F1012" s="214"/>
      <c r="G1012" s="214"/>
      <c r="H1012" s="214"/>
      <c r="I1012" s="214"/>
      <c r="J1012" s="214"/>
      <c r="K1012" s="214"/>
      <c r="L1012" s="214"/>
      <c r="M1012" s="214"/>
      <c r="N1012" s="214"/>
      <c r="O1012" s="214"/>
      <c r="P1012" s="214"/>
      <c r="Q1012" s="214"/>
      <c r="R1012" s="214"/>
      <c r="S1012" s="214"/>
      <c r="T1012" s="214"/>
      <c r="U1012" s="214"/>
      <c r="V1012" s="214"/>
      <c r="W1012" s="214"/>
      <c r="X1012" s="214"/>
      <c r="Y1012" s="214"/>
      <c r="Z1012" s="214"/>
    </row>
    <row r="1013" ht="15.75" customHeight="1">
      <c r="A1013" s="214"/>
      <c r="B1013" s="214"/>
      <c r="C1013" s="214"/>
      <c r="D1013" s="214"/>
      <c r="E1013" s="214"/>
      <c r="F1013" s="214"/>
      <c r="G1013" s="214"/>
      <c r="H1013" s="214"/>
      <c r="I1013" s="214"/>
      <c r="J1013" s="214"/>
      <c r="K1013" s="214"/>
      <c r="L1013" s="214"/>
      <c r="M1013" s="214"/>
      <c r="N1013" s="214"/>
      <c r="O1013" s="214"/>
      <c r="P1013" s="214"/>
      <c r="Q1013" s="214"/>
      <c r="R1013" s="214"/>
      <c r="S1013" s="214"/>
      <c r="T1013" s="214"/>
      <c r="U1013" s="214"/>
      <c r="V1013" s="214"/>
      <c r="W1013" s="214"/>
      <c r="X1013" s="214"/>
      <c r="Y1013" s="214"/>
      <c r="Z1013" s="214"/>
    </row>
    <row r="1014" ht="15.75" customHeight="1">
      <c r="A1014" s="214"/>
      <c r="B1014" s="214"/>
      <c r="C1014" s="214"/>
      <c r="D1014" s="214"/>
      <c r="E1014" s="214"/>
      <c r="F1014" s="214"/>
      <c r="G1014" s="214"/>
      <c r="H1014" s="214"/>
      <c r="I1014" s="214"/>
      <c r="J1014" s="214"/>
      <c r="K1014" s="214"/>
      <c r="L1014" s="214"/>
      <c r="M1014" s="214"/>
      <c r="N1014" s="214"/>
      <c r="O1014" s="214"/>
      <c r="P1014" s="214"/>
      <c r="Q1014" s="214"/>
      <c r="R1014" s="214"/>
      <c r="S1014" s="214"/>
      <c r="T1014" s="214"/>
      <c r="U1014" s="214"/>
      <c r="V1014" s="214"/>
      <c r="W1014" s="214"/>
      <c r="X1014" s="214"/>
      <c r="Y1014" s="214"/>
      <c r="Z1014" s="214"/>
    </row>
    <row r="1015" ht="15.75" customHeight="1">
      <c r="A1015" s="214"/>
      <c r="B1015" s="214"/>
      <c r="C1015" s="214"/>
      <c r="D1015" s="214"/>
      <c r="E1015" s="214"/>
      <c r="F1015" s="214"/>
      <c r="G1015" s="214"/>
      <c r="H1015" s="214"/>
      <c r="I1015" s="214"/>
      <c r="J1015" s="214"/>
      <c r="K1015" s="214"/>
      <c r="L1015" s="214"/>
      <c r="M1015" s="214"/>
      <c r="N1015" s="214"/>
      <c r="O1015" s="214"/>
      <c r="P1015" s="214"/>
      <c r="Q1015" s="214"/>
      <c r="R1015" s="214"/>
      <c r="S1015" s="214"/>
      <c r="T1015" s="214"/>
      <c r="U1015" s="214"/>
      <c r="V1015" s="214"/>
      <c r="W1015" s="214"/>
      <c r="X1015" s="214"/>
      <c r="Y1015" s="214"/>
      <c r="Z1015" s="214"/>
    </row>
    <row r="1016" ht="15.75" customHeight="1">
      <c r="A1016" s="214"/>
      <c r="B1016" s="214"/>
      <c r="C1016" s="214"/>
      <c r="D1016" s="214"/>
      <c r="E1016" s="214"/>
      <c r="F1016" s="214"/>
      <c r="G1016" s="214"/>
      <c r="H1016" s="214"/>
      <c r="I1016" s="214"/>
      <c r="J1016" s="214"/>
      <c r="K1016" s="214"/>
      <c r="L1016" s="214"/>
      <c r="M1016" s="214"/>
      <c r="N1016" s="214"/>
      <c r="O1016" s="214"/>
      <c r="P1016" s="214"/>
      <c r="Q1016" s="214"/>
      <c r="R1016" s="214"/>
      <c r="S1016" s="214"/>
      <c r="T1016" s="214"/>
      <c r="U1016" s="214"/>
      <c r="V1016" s="214"/>
      <c r="W1016" s="214"/>
      <c r="X1016" s="214"/>
      <c r="Y1016" s="214"/>
      <c r="Z1016" s="214"/>
    </row>
    <row r="1017" ht="15.75" customHeight="1">
      <c r="A1017" s="214"/>
      <c r="B1017" s="214"/>
      <c r="C1017" s="214"/>
      <c r="D1017" s="214"/>
      <c r="E1017" s="214"/>
      <c r="F1017" s="214"/>
      <c r="G1017" s="214"/>
      <c r="H1017" s="214"/>
      <c r="I1017" s="214"/>
      <c r="J1017" s="214"/>
      <c r="K1017" s="214"/>
      <c r="L1017" s="214"/>
      <c r="M1017" s="214"/>
      <c r="N1017" s="214"/>
      <c r="O1017" s="214"/>
      <c r="P1017" s="214"/>
      <c r="Q1017" s="214"/>
      <c r="R1017" s="214"/>
      <c r="S1017" s="214"/>
      <c r="T1017" s="214"/>
      <c r="U1017" s="214"/>
      <c r="V1017" s="214"/>
      <c r="W1017" s="214"/>
      <c r="X1017" s="214"/>
      <c r="Y1017" s="214"/>
      <c r="Z1017" s="214"/>
    </row>
    <row r="1018" ht="15.75" customHeight="1">
      <c r="A1018" s="214"/>
      <c r="B1018" s="214"/>
      <c r="C1018" s="214"/>
      <c r="D1018" s="214"/>
      <c r="E1018" s="214"/>
      <c r="F1018" s="214"/>
      <c r="G1018" s="214"/>
      <c r="H1018" s="214"/>
      <c r="I1018" s="214"/>
      <c r="J1018" s="214"/>
      <c r="K1018" s="214"/>
      <c r="L1018" s="214"/>
      <c r="M1018" s="214"/>
      <c r="N1018" s="214"/>
      <c r="O1018" s="214"/>
      <c r="P1018" s="214"/>
      <c r="Q1018" s="214"/>
      <c r="R1018" s="214"/>
      <c r="S1018" s="214"/>
      <c r="T1018" s="214"/>
      <c r="U1018" s="214"/>
      <c r="V1018" s="214"/>
      <c r="W1018" s="214"/>
      <c r="X1018" s="214"/>
      <c r="Y1018" s="214"/>
      <c r="Z1018" s="214"/>
    </row>
    <row r="1019" ht="15.75" customHeight="1">
      <c r="A1019" s="214"/>
      <c r="B1019" s="214"/>
      <c r="C1019" s="214"/>
      <c r="D1019" s="214"/>
      <c r="E1019" s="214"/>
      <c r="F1019" s="214"/>
      <c r="G1019" s="214"/>
      <c r="H1019" s="214"/>
      <c r="I1019" s="214"/>
      <c r="J1019" s="214"/>
      <c r="K1019" s="214"/>
      <c r="L1019" s="214"/>
      <c r="M1019" s="214"/>
      <c r="N1019" s="214"/>
      <c r="O1019" s="214"/>
      <c r="P1019" s="214"/>
      <c r="Q1019" s="214"/>
      <c r="R1019" s="214"/>
      <c r="S1019" s="214"/>
      <c r="T1019" s="214"/>
      <c r="U1019" s="214"/>
      <c r="V1019" s="214"/>
      <c r="W1019" s="214"/>
      <c r="X1019" s="214"/>
      <c r="Y1019" s="214"/>
      <c r="Z1019" s="214"/>
    </row>
    <row r="1020" ht="15.75" customHeight="1">
      <c r="A1020" s="214"/>
      <c r="B1020" s="214"/>
      <c r="C1020" s="214"/>
      <c r="D1020" s="214"/>
      <c r="E1020" s="214"/>
      <c r="F1020" s="214"/>
      <c r="G1020" s="214"/>
      <c r="H1020" s="214"/>
      <c r="I1020" s="214"/>
      <c r="J1020" s="214"/>
      <c r="K1020" s="214"/>
      <c r="L1020" s="214"/>
      <c r="M1020" s="214"/>
      <c r="N1020" s="214"/>
      <c r="O1020" s="214"/>
      <c r="P1020" s="214"/>
      <c r="Q1020" s="214"/>
      <c r="R1020" s="214"/>
      <c r="S1020" s="214"/>
      <c r="T1020" s="214"/>
      <c r="U1020" s="214"/>
      <c r="V1020" s="214"/>
      <c r="W1020" s="214"/>
      <c r="X1020" s="214"/>
      <c r="Y1020" s="214"/>
      <c r="Z1020" s="214"/>
    </row>
    <row r="1021" ht="15.75" customHeight="1">
      <c r="A1021" s="214"/>
      <c r="B1021" s="214"/>
      <c r="C1021" s="214"/>
      <c r="D1021" s="214"/>
      <c r="E1021" s="214"/>
      <c r="F1021" s="214"/>
      <c r="G1021" s="214"/>
      <c r="H1021" s="214"/>
      <c r="I1021" s="214"/>
      <c r="J1021" s="214"/>
      <c r="K1021" s="214"/>
      <c r="L1021" s="214"/>
      <c r="M1021" s="214"/>
      <c r="N1021" s="214"/>
      <c r="O1021" s="214"/>
      <c r="P1021" s="214"/>
      <c r="Q1021" s="214"/>
      <c r="R1021" s="214"/>
      <c r="S1021" s="214"/>
      <c r="T1021" s="214"/>
      <c r="U1021" s="214"/>
      <c r="V1021" s="214"/>
      <c r="W1021" s="214"/>
      <c r="X1021" s="214"/>
      <c r="Y1021" s="214"/>
      <c r="Z1021" s="214"/>
    </row>
    <row r="1022" ht="15.75" customHeight="1">
      <c r="A1022" s="214"/>
      <c r="B1022" s="214"/>
      <c r="C1022" s="214"/>
      <c r="D1022" s="214"/>
      <c r="E1022" s="214"/>
      <c r="F1022" s="214"/>
      <c r="G1022" s="214"/>
      <c r="H1022" s="214"/>
      <c r="I1022" s="214"/>
      <c r="J1022" s="214"/>
      <c r="K1022" s="214"/>
      <c r="L1022" s="214"/>
      <c r="M1022" s="214"/>
      <c r="N1022" s="214"/>
      <c r="O1022" s="214"/>
      <c r="P1022" s="214"/>
      <c r="Q1022" s="214"/>
      <c r="R1022" s="214"/>
      <c r="S1022" s="214"/>
      <c r="T1022" s="214"/>
      <c r="U1022" s="214"/>
      <c r="V1022" s="214"/>
      <c r="W1022" s="214"/>
      <c r="X1022" s="214"/>
      <c r="Y1022" s="214"/>
      <c r="Z1022" s="214"/>
    </row>
    <row r="1023" ht="15.75" customHeight="1">
      <c r="A1023" s="214"/>
      <c r="B1023" s="214"/>
      <c r="C1023" s="214"/>
      <c r="D1023" s="214"/>
      <c r="E1023" s="214"/>
      <c r="F1023" s="214"/>
      <c r="G1023" s="214"/>
      <c r="H1023" s="214"/>
      <c r="I1023" s="214"/>
      <c r="J1023" s="214"/>
      <c r="K1023" s="214"/>
      <c r="L1023" s="214"/>
      <c r="M1023" s="214"/>
      <c r="N1023" s="214"/>
      <c r="O1023" s="214"/>
      <c r="P1023" s="214"/>
      <c r="Q1023" s="214"/>
      <c r="R1023" s="214"/>
      <c r="S1023" s="214"/>
      <c r="T1023" s="214"/>
      <c r="U1023" s="214"/>
      <c r="V1023" s="214"/>
      <c r="W1023" s="214"/>
      <c r="X1023" s="214"/>
      <c r="Y1023" s="214"/>
      <c r="Z1023" s="214"/>
    </row>
    <row r="1024" ht="15.75" customHeight="1">
      <c r="A1024" s="214"/>
      <c r="B1024" s="214"/>
      <c r="C1024" s="214"/>
      <c r="D1024" s="214"/>
      <c r="E1024" s="214"/>
      <c r="F1024" s="214"/>
      <c r="G1024" s="214"/>
      <c r="H1024" s="214"/>
      <c r="I1024" s="214"/>
      <c r="J1024" s="214"/>
      <c r="K1024" s="214"/>
      <c r="L1024" s="214"/>
      <c r="M1024" s="214"/>
      <c r="N1024" s="214"/>
      <c r="O1024" s="214"/>
      <c r="P1024" s="214"/>
      <c r="Q1024" s="214"/>
      <c r="R1024" s="214"/>
      <c r="S1024" s="214"/>
      <c r="T1024" s="214"/>
      <c r="U1024" s="214"/>
      <c r="V1024" s="214"/>
      <c r="W1024" s="214"/>
      <c r="X1024" s="214"/>
      <c r="Y1024" s="214"/>
      <c r="Z1024" s="214"/>
    </row>
    <row r="1025" ht="15.75" customHeight="1">
      <c r="A1025" s="214"/>
      <c r="B1025" s="214"/>
      <c r="C1025" s="214"/>
      <c r="D1025" s="214"/>
      <c r="E1025" s="214"/>
      <c r="F1025" s="214"/>
      <c r="G1025" s="214"/>
      <c r="H1025" s="214"/>
      <c r="I1025" s="214"/>
      <c r="J1025" s="214"/>
      <c r="K1025" s="214"/>
      <c r="L1025" s="214"/>
      <c r="M1025" s="214"/>
      <c r="N1025" s="214"/>
      <c r="O1025" s="214"/>
      <c r="P1025" s="214"/>
      <c r="Q1025" s="214"/>
      <c r="R1025" s="214"/>
      <c r="S1025" s="214"/>
      <c r="T1025" s="214"/>
      <c r="U1025" s="214"/>
      <c r="V1025" s="214"/>
      <c r="W1025" s="214"/>
      <c r="X1025" s="214"/>
      <c r="Y1025" s="214"/>
      <c r="Z1025" s="214"/>
    </row>
    <row r="1026" ht="15.75" customHeight="1">
      <c r="A1026" s="214"/>
      <c r="B1026" s="214"/>
      <c r="C1026" s="214"/>
      <c r="D1026" s="214"/>
      <c r="E1026" s="214"/>
      <c r="F1026" s="214"/>
      <c r="G1026" s="214"/>
      <c r="H1026" s="214"/>
      <c r="I1026" s="214"/>
      <c r="J1026" s="214"/>
      <c r="K1026" s="214"/>
      <c r="L1026" s="214"/>
      <c r="M1026" s="214"/>
      <c r="N1026" s="214"/>
      <c r="O1026" s="214"/>
      <c r="P1026" s="214"/>
      <c r="Q1026" s="214"/>
      <c r="R1026" s="214"/>
      <c r="S1026" s="214"/>
      <c r="T1026" s="214"/>
      <c r="U1026" s="214"/>
      <c r="V1026" s="214"/>
      <c r="W1026" s="214"/>
      <c r="X1026" s="214"/>
      <c r="Y1026" s="214"/>
      <c r="Z1026" s="214"/>
    </row>
    <row r="1027" ht="15.75" customHeight="1">
      <c r="A1027" s="214"/>
      <c r="B1027" s="214"/>
      <c r="C1027" s="214"/>
      <c r="D1027" s="214"/>
      <c r="E1027" s="214"/>
      <c r="F1027" s="214"/>
      <c r="G1027" s="214"/>
      <c r="H1027" s="214"/>
      <c r="I1027" s="214"/>
      <c r="J1027" s="214"/>
      <c r="K1027" s="214"/>
      <c r="L1027" s="214"/>
      <c r="M1027" s="214"/>
      <c r="N1027" s="214"/>
      <c r="O1027" s="214"/>
      <c r="P1027" s="214"/>
      <c r="Q1027" s="214"/>
      <c r="R1027" s="214"/>
      <c r="S1027" s="214"/>
      <c r="T1027" s="214"/>
      <c r="U1027" s="214"/>
      <c r="V1027" s="214"/>
      <c r="W1027" s="214"/>
      <c r="X1027" s="214"/>
      <c r="Y1027" s="214"/>
      <c r="Z1027" s="214"/>
    </row>
    <row r="1028" ht="15.75" customHeight="1">
      <c r="A1028" s="214"/>
      <c r="B1028" s="214"/>
      <c r="C1028" s="214"/>
      <c r="D1028" s="214"/>
      <c r="E1028" s="214"/>
      <c r="F1028" s="214"/>
      <c r="G1028" s="214"/>
      <c r="H1028" s="214"/>
      <c r="I1028" s="214"/>
      <c r="J1028" s="214"/>
      <c r="K1028" s="214"/>
      <c r="L1028" s="214"/>
      <c r="M1028" s="214"/>
      <c r="N1028" s="214"/>
      <c r="O1028" s="214"/>
      <c r="P1028" s="214"/>
      <c r="Q1028" s="214"/>
      <c r="R1028" s="214"/>
      <c r="S1028" s="214"/>
      <c r="T1028" s="214"/>
      <c r="U1028" s="214"/>
      <c r="V1028" s="214"/>
      <c r="W1028" s="214"/>
      <c r="X1028" s="214"/>
      <c r="Y1028" s="214"/>
      <c r="Z1028" s="214"/>
    </row>
    <row r="1029" ht="15.75" customHeight="1">
      <c r="A1029" s="214"/>
      <c r="B1029" s="214"/>
      <c r="C1029" s="214"/>
      <c r="D1029" s="214"/>
      <c r="E1029" s="214"/>
      <c r="F1029" s="214"/>
      <c r="G1029" s="214"/>
      <c r="H1029" s="214"/>
      <c r="I1029" s="214"/>
      <c r="J1029" s="214"/>
      <c r="K1029" s="214"/>
      <c r="L1029" s="214"/>
      <c r="M1029" s="214"/>
      <c r="N1029" s="214"/>
      <c r="O1029" s="214"/>
      <c r="P1029" s="214"/>
      <c r="Q1029" s="214"/>
      <c r="R1029" s="214"/>
      <c r="S1029" s="214"/>
      <c r="T1029" s="214"/>
      <c r="U1029" s="214"/>
      <c r="V1029" s="214"/>
      <c r="W1029" s="214"/>
      <c r="X1029" s="214"/>
      <c r="Y1029" s="214"/>
      <c r="Z1029" s="214"/>
    </row>
    <row r="1030" ht="15.75" customHeight="1">
      <c r="A1030" s="214"/>
      <c r="B1030" s="214"/>
      <c r="C1030" s="214"/>
      <c r="D1030" s="214"/>
      <c r="E1030" s="214"/>
      <c r="F1030" s="214"/>
      <c r="G1030" s="214"/>
      <c r="H1030" s="214"/>
      <c r="I1030" s="214"/>
      <c r="J1030" s="214"/>
      <c r="K1030" s="214"/>
      <c r="L1030" s="214"/>
      <c r="M1030" s="214"/>
      <c r="N1030" s="214"/>
      <c r="O1030" s="214"/>
      <c r="P1030" s="214"/>
      <c r="Q1030" s="214"/>
      <c r="R1030" s="214"/>
      <c r="S1030" s="214"/>
      <c r="T1030" s="214"/>
      <c r="U1030" s="214"/>
      <c r="V1030" s="214"/>
      <c r="W1030" s="214"/>
      <c r="X1030" s="214"/>
      <c r="Y1030" s="214"/>
      <c r="Z1030" s="214"/>
    </row>
    <row r="1031" ht="15.75" customHeight="1">
      <c r="A1031" s="214"/>
      <c r="B1031" s="214"/>
      <c r="C1031" s="214"/>
      <c r="D1031" s="214"/>
      <c r="E1031" s="214"/>
      <c r="F1031" s="214"/>
      <c r="G1031" s="214"/>
      <c r="H1031" s="214"/>
      <c r="I1031" s="214"/>
      <c r="J1031" s="214"/>
      <c r="K1031" s="214"/>
      <c r="L1031" s="214"/>
      <c r="M1031" s="214"/>
      <c r="N1031" s="214"/>
      <c r="O1031" s="214"/>
      <c r="P1031" s="214"/>
      <c r="Q1031" s="214"/>
      <c r="R1031" s="214"/>
      <c r="S1031" s="214"/>
      <c r="T1031" s="214"/>
      <c r="U1031" s="214"/>
      <c r="V1031" s="214"/>
      <c r="W1031" s="214"/>
      <c r="X1031" s="214"/>
      <c r="Y1031" s="214"/>
      <c r="Z1031" s="214"/>
    </row>
    <row r="1032" ht="15.75" customHeight="1">
      <c r="A1032" s="214"/>
      <c r="B1032" s="214"/>
      <c r="C1032" s="214"/>
      <c r="D1032" s="214"/>
      <c r="E1032" s="214"/>
      <c r="F1032" s="214"/>
      <c r="G1032" s="214"/>
      <c r="H1032" s="214"/>
      <c r="I1032" s="214"/>
      <c r="J1032" s="214"/>
      <c r="K1032" s="214"/>
      <c r="L1032" s="214"/>
      <c r="M1032" s="214"/>
      <c r="N1032" s="214"/>
      <c r="O1032" s="214"/>
      <c r="P1032" s="214"/>
      <c r="Q1032" s="214"/>
      <c r="R1032" s="214"/>
      <c r="S1032" s="214"/>
      <c r="T1032" s="214"/>
      <c r="U1032" s="214"/>
      <c r="V1032" s="214"/>
      <c r="W1032" s="214"/>
      <c r="X1032" s="214"/>
      <c r="Y1032" s="214"/>
      <c r="Z1032" s="214"/>
    </row>
    <row r="1033" ht="15.75" customHeight="1">
      <c r="A1033" s="214"/>
      <c r="B1033" s="214"/>
      <c r="C1033" s="214"/>
      <c r="D1033" s="214"/>
      <c r="E1033" s="214"/>
      <c r="F1033" s="214"/>
      <c r="G1033" s="214"/>
      <c r="H1033" s="214"/>
      <c r="I1033" s="214"/>
      <c r="J1033" s="214"/>
      <c r="K1033" s="214"/>
      <c r="L1033" s="214"/>
      <c r="M1033" s="214"/>
      <c r="N1033" s="214"/>
      <c r="O1033" s="214"/>
      <c r="P1033" s="214"/>
      <c r="Q1033" s="214"/>
      <c r="R1033" s="214"/>
      <c r="S1033" s="214"/>
      <c r="T1033" s="214"/>
      <c r="U1033" s="214"/>
      <c r="V1033" s="214"/>
      <c r="W1033" s="214"/>
      <c r="X1033" s="214"/>
      <c r="Y1033" s="214"/>
      <c r="Z1033" s="214"/>
    </row>
    <row r="1034" ht="15.75" customHeight="1">
      <c r="A1034" s="214"/>
      <c r="B1034" s="214"/>
      <c r="C1034" s="214"/>
      <c r="D1034" s="214"/>
      <c r="E1034" s="214"/>
      <c r="F1034" s="214"/>
      <c r="G1034" s="214"/>
      <c r="H1034" s="214"/>
      <c r="I1034" s="214"/>
      <c r="J1034" s="214"/>
      <c r="K1034" s="214"/>
      <c r="L1034" s="214"/>
      <c r="M1034" s="214"/>
      <c r="N1034" s="214"/>
      <c r="O1034" s="214"/>
      <c r="P1034" s="214"/>
      <c r="Q1034" s="214"/>
      <c r="R1034" s="214"/>
      <c r="S1034" s="214"/>
      <c r="T1034" s="214"/>
      <c r="U1034" s="214"/>
      <c r="V1034" s="214"/>
      <c r="W1034" s="214"/>
      <c r="X1034" s="214"/>
      <c r="Y1034" s="214"/>
      <c r="Z1034" s="214"/>
    </row>
    <row r="1035" ht="15.75" customHeight="1">
      <c r="A1035" s="214"/>
      <c r="B1035" s="214"/>
      <c r="C1035" s="214"/>
      <c r="D1035" s="214"/>
      <c r="E1035" s="214"/>
      <c r="F1035" s="214"/>
      <c r="G1035" s="214"/>
      <c r="H1035" s="214"/>
      <c r="I1035" s="214"/>
      <c r="J1035" s="214"/>
      <c r="K1035" s="214"/>
      <c r="L1035" s="214"/>
      <c r="M1035" s="214"/>
      <c r="N1035" s="214"/>
      <c r="O1035" s="214"/>
      <c r="P1035" s="214"/>
      <c r="Q1035" s="214"/>
      <c r="R1035" s="214"/>
      <c r="S1035" s="214"/>
      <c r="T1035" s="214"/>
      <c r="U1035" s="214"/>
      <c r="V1035" s="214"/>
      <c r="W1035" s="214"/>
      <c r="X1035" s="214"/>
      <c r="Y1035" s="214"/>
      <c r="Z1035" s="214"/>
    </row>
    <row r="1036" ht="15.75" customHeight="1">
      <c r="A1036" s="214"/>
      <c r="B1036" s="214"/>
      <c r="C1036" s="214"/>
      <c r="D1036" s="214"/>
      <c r="E1036" s="214"/>
      <c r="F1036" s="214"/>
      <c r="G1036" s="214"/>
      <c r="H1036" s="214"/>
      <c r="I1036" s="214"/>
      <c r="J1036" s="214"/>
      <c r="K1036" s="214"/>
      <c r="L1036" s="214"/>
      <c r="M1036" s="214"/>
      <c r="N1036" s="214"/>
      <c r="O1036" s="214"/>
      <c r="P1036" s="214"/>
      <c r="Q1036" s="214"/>
      <c r="R1036" s="214"/>
      <c r="S1036" s="214"/>
      <c r="T1036" s="214"/>
      <c r="U1036" s="214"/>
      <c r="V1036" s="214"/>
      <c r="W1036" s="214"/>
      <c r="X1036" s="214"/>
      <c r="Y1036" s="214"/>
      <c r="Z1036" s="214"/>
    </row>
    <row r="1037" ht="15.75" customHeight="1">
      <c r="A1037" s="214"/>
      <c r="B1037" s="214"/>
      <c r="C1037" s="214"/>
      <c r="D1037" s="214"/>
      <c r="E1037" s="214"/>
      <c r="F1037" s="214"/>
      <c r="G1037" s="214"/>
      <c r="H1037" s="214"/>
      <c r="I1037" s="214"/>
      <c r="J1037" s="214"/>
      <c r="K1037" s="214"/>
      <c r="L1037" s="214"/>
      <c r="M1037" s="214"/>
      <c r="N1037" s="214"/>
      <c r="O1037" s="214"/>
      <c r="P1037" s="214"/>
      <c r="Q1037" s="214"/>
      <c r="R1037" s="214"/>
      <c r="S1037" s="214"/>
      <c r="T1037" s="214"/>
      <c r="U1037" s="214"/>
      <c r="V1037" s="214"/>
      <c r="W1037" s="214"/>
      <c r="X1037" s="214"/>
      <c r="Y1037" s="214"/>
      <c r="Z1037" s="214"/>
    </row>
    <row r="1038" ht="15.75" customHeight="1">
      <c r="A1038" s="214"/>
      <c r="B1038" s="214"/>
      <c r="C1038" s="214"/>
      <c r="D1038" s="214"/>
      <c r="E1038" s="214"/>
      <c r="F1038" s="214"/>
      <c r="G1038" s="214"/>
      <c r="H1038" s="214"/>
      <c r="I1038" s="214"/>
      <c r="J1038" s="214"/>
      <c r="K1038" s="214"/>
      <c r="L1038" s="214"/>
      <c r="M1038" s="214"/>
      <c r="N1038" s="214"/>
      <c r="O1038" s="214"/>
      <c r="P1038" s="214"/>
      <c r="Q1038" s="214"/>
      <c r="R1038" s="214"/>
      <c r="S1038" s="214"/>
      <c r="T1038" s="214"/>
      <c r="U1038" s="214"/>
      <c r="V1038" s="214"/>
      <c r="W1038" s="214"/>
      <c r="X1038" s="214"/>
      <c r="Y1038" s="214"/>
      <c r="Z1038" s="214"/>
    </row>
    <row r="1039" ht="15.75" customHeight="1">
      <c r="A1039" s="214"/>
      <c r="B1039" s="214"/>
      <c r="C1039" s="214"/>
      <c r="D1039" s="214"/>
      <c r="E1039" s="214"/>
      <c r="F1039" s="214"/>
      <c r="G1039" s="214"/>
      <c r="H1039" s="214"/>
      <c r="I1039" s="214"/>
      <c r="J1039" s="214"/>
      <c r="K1039" s="214"/>
      <c r="L1039" s="214"/>
      <c r="M1039" s="214"/>
      <c r="N1039" s="214"/>
      <c r="O1039" s="214"/>
      <c r="P1039" s="214"/>
      <c r="Q1039" s="214"/>
      <c r="R1039" s="214"/>
      <c r="S1039" s="214"/>
      <c r="T1039" s="214"/>
      <c r="U1039" s="214"/>
      <c r="V1039" s="214"/>
      <c r="W1039" s="214"/>
      <c r="X1039" s="214"/>
      <c r="Y1039" s="214"/>
      <c r="Z1039" s="214"/>
    </row>
    <row r="1040" ht="15.75" customHeight="1">
      <c r="A1040" s="214"/>
      <c r="B1040" s="214"/>
      <c r="C1040" s="214"/>
      <c r="D1040" s="214"/>
      <c r="E1040" s="214"/>
      <c r="F1040" s="214"/>
      <c r="G1040" s="214"/>
      <c r="H1040" s="214"/>
      <c r="I1040" s="214"/>
      <c r="J1040" s="214"/>
      <c r="K1040" s="214"/>
      <c r="L1040" s="214"/>
      <c r="M1040" s="214"/>
      <c r="N1040" s="214"/>
      <c r="O1040" s="214"/>
      <c r="P1040" s="214"/>
      <c r="Q1040" s="214"/>
      <c r="R1040" s="214"/>
      <c r="S1040" s="214"/>
      <c r="T1040" s="214"/>
      <c r="U1040" s="214"/>
      <c r="V1040" s="214"/>
      <c r="W1040" s="214"/>
      <c r="X1040" s="214"/>
      <c r="Y1040" s="214"/>
      <c r="Z1040" s="214"/>
    </row>
    <row r="1041" ht="15.75" customHeight="1">
      <c r="A1041" s="214"/>
      <c r="B1041" s="214"/>
      <c r="C1041" s="214"/>
      <c r="D1041" s="214"/>
      <c r="E1041" s="214"/>
      <c r="F1041" s="214"/>
      <c r="G1041" s="214"/>
      <c r="H1041" s="214"/>
      <c r="I1041" s="214"/>
      <c r="J1041" s="214"/>
      <c r="K1041" s="214"/>
      <c r="L1041" s="214"/>
      <c r="M1041" s="214"/>
      <c r="N1041" s="214"/>
      <c r="O1041" s="214"/>
      <c r="P1041" s="214"/>
      <c r="Q1041" s="214"/>
      <c r="R1041" s="214"/>
      <c r="S1041" s="214"/>
      <c r="T1041" s="214"/>
      <c r="U1041" s="214"/>
      <c r="V1041" s="214"/>
      <c r="W1041" s="214"/>
      <c r="X1041" s="214"/>
      <c r="Y1041" s="214"/>
      <c r="Z1041" s="214"/>
    </row>
    <row r="1042" ht="15.75" customHeight="1">
      <c r="A1042" s="214"/>
      <c r="B1042" s="214"/>
      <c r="C1042" s="214"/>
      <c r="D1042" s="214"/>
      <c r="E1042" s="214"/>
      <c r="F1042" s="214"/>
      <c r="G1042" s="214"/>
      <c r="H1042" s="214"/>
      <c r="I1042" s="214"/>
      <c r="J1042" s="214"/>
      <c r="K1042" s="214"/>
      <c r="L1042" s="214"/>
      <c r="M1042" s="214"/>
      <c r="N1042" s="214"/>
      <c r="O1042" s="214"/>
      <c r="P1042" s="214"/>
      <c r="Q1042" s="214"/>
      <c r="R1042" s="214"/>
      <c r="S1042" s="214"/>
      <c r="T1042" s="214"/>
      <c r="U1042" s="214"/>
      <c r="V1042" s="214"/>
      <c r="W1042" s="214"/>
      <c r="X1042" s="214"/>
      <c r="Y1042" s="214"/>
      <c r="Z1042" s="214"/>
    </row>
    <row r="1043" ht="15.75" customHeight="1">
      <c r="A1043" s="214"/>
      <c r="B1043" s="214"/>
      <c r="C1043" s="214"/>
      <c r="D1043" s="214"/>
      <c r="E1043" s="214"/>
      <c r="F1043" s="214"/>
      <c r="G1043" s="214"/>
      <c r="H1043" s="214"/>
      <c r="I1043" s="214"/>
      <c r="J1043" s="214"/>
      <c r="K1043" s="214"/>
      <c r="L1043" s="214"/>
      <c r="M1043" s="214"/>
      <c r="N1043" s="214"/>
      <c r="O1043" s="214"/>
      <c r="P1043" s="214"/>
      <c r="Q1043" s="214"/>
      <c r="R1043" s="214"/>
      <c r="S1043" s="214"/>
      <c r="T1043" s="214"/>
      <c r="U1043" s="214"/>
      <c r="V1043" s="214"/>
      <c r="W1043" s="214"/>
      <c r="X1043" s="214"/>
      <c r="Y1043" s="214"/>
      <c r="Z1043" s="214"/>
    </row>
    <row r="1044" ht="15.75" customHeight="1">
      <c r="A1044" s="214"/>
      <c r="B1044" s="214"/>
      <c r="C1044" s="214"/>
      <c r="D1044" s="214"/>
      <c r="E1044" s="214"/>
      <c r="F1044" s="214"/>
      <c r="G1044" s="214"/>
      <c r="H1044" s="214"/>
      <c r="I1044" s="214"/>
      <c r="J1044" s="214"/>
      <c r="K1044" s="214"/>
      <c r="L1044" s="214"/>
      <c r="M1044" s="214"/>
      <c r="N1044" s="214"/>
      <c r="O1044" s="214"/>
      <c r="P1044" s="214"/>
      <c r="Q1044" s="214"/>
      <c r="R1044" s="214"/>
      <c r="S1044" s="214"/>
      <c r="T1044" s="214"/>
      <c r="U1044" s="214"/>
      <c r="V1044" s="214"/>
      <c r="W1044" s="214"/>
      <c r="X1044" s="214"/>
      <c r="Y1044" s="214"/>
      <c r="Z1044" s="214"/>
    </row>
    <row r="1045" ht="15.75" customHeight="1">
      <c r="A1045" s="214"/>
      <c r="B1045" s="214"/>
      <c r="C1045" s="214"/>
      <c r="D1045" s="214"/>
      <c r="E1045" s="214"/>
      <c r="F1045" s="214"/>
      <c r="G1045" s="214"/>
      <c r="H1045" s="214"/>
      <c r="I1045" s="214"/>
      <c r="J1045" s="214"/>
      <c r="K1045" s="214"/>
      <c r="L1045" s="214"/>
      <c r="M1045" s="214"/>
      <c r="N1045" s="214"/>
      <c r="O1045" s="214"/>
      <c r="P1045" s="214"/>
      <c r="Q1045" s="214"/>
      <c r="R1045" s="214"/>
      <c r="S1045" s="214"/>
      <c r="T1045" s="214"/>
      <c r="U1045" s="214"/>
      <c r="V1045" s="214"/>
      <c r="W1045" s="214"/>
      <c r="X1045" s="214"/>
      <c r="Y1045" s="214"/>
      <c r="Z1045" s="214"/>
    </row>
    <row r="1046" ht="15.75" customHeight="1">
      <c r="A1046" s="214"/>
      <c r="B1046" s="214"/>
      <c r="C1046" s="214"/>
      <c r="D1046" s="214"/>
      <c r="E1046" s="214"/>
      <c r="F1046" s="214"/>
      <c r="G1046" s="214"/>
      <c r="H1046" s="214"/>
      <c r="I1046" s="214"/>
      <c r="J1046" s="214"/>
      <c r="K1046" s="214"/>
      <c r="L1046" s="214"/>
      <c r="M1046" s="214"/>
      <c r="N1046" s="214"/>
      <c r="O1046" s="214"/>
      <c r="P1046" s="214"/>
      <c r="Q1046" s="214"/>
      <c r="R1046" s="214"/>
      <c r="S1046" s="214"/>
      <c r="T1046" s="214"/>
      <c r="U1046" s="214"/>
      <c r="V1046" s="214"/>
      <c r="W1046" s="214"/>
      <c r="X1046" s="214"/>
      <c r="Y1046" s="214"/>
      <c r="Z1046" s="214"/>
    </row>
    <row r="1047" ht="15.75" customHeight="1">
      <c r="A1047" s="214"/>
      <c r="B1047" s="214"/>
      <c r="C1047" s="214"/>
      <c r="D1047" s="214"/>
      <c r="E1047" s="214"/>
      <c r="F1047" s="214"/>
      <c r="G1047" s="214"/>
      <c r="H1047" s="214"/>
      <c r="I1047" s="214"/>
      <c r="J1047" s="214"/>
      <c r="K1047" s="214"/>
      <c r="L1047" s="214"/>
      <c r="M1047" s="214"/>
      <c r="N1047" s="214"/>
      <c r="O1047" s="214"/>
      <c r="P1047" s="214"/>
      <c r="Q1047" s="214"/>
      <c r="R1047" s="214"/>
      <c r="S1047" s="214"/>
      <c r="T1047" s="214"/>
      <c r="U1047" s="214"/>
      <c r="V1047" s="214"/>
      <c r="W1047" s="214"/>
      <c r="X1047" s="214"/>
      <c r="Y1047" s="214"/>
      <c r="Z1047" s="214"/>
    </row>
    <row r="1048" ht="15.75" customHeight="1">
      <c r="A1048" s="214"/>
      <c r="B1048" s="214"/>
      <c r="C1048" s="214"/>
      <c r="D1048" s="214"/>
      <c r="E1048" s="214"/>
      <c r="F1048" s="214"/>
      <c r="G1048" s="214"/>
      <c r="H1048" s="214"/>
      <c r="I1048" s="214"/>
      <c r="J1048" s="214"/>
      <c r="K1048" s="214"/>
      <c r="L1048" s="214"/>
      <c r="M1048" s="214"/>
      <c r="N1048" s="214"/>
      <c r="O1048" s="214"/>
      <c r="P1048" s="214"/>
      <c r="Q1048" s="214"/>
      <c r="R1048" s="214"/>
      <c r="S1048" s="214"/>
      <c r="T1048" s="214"/>
      <c r="U1048" s="214"/>
      <c r="V1048" s="214"/>
      <c r="W1048" s="214"/>
      <c r="X1048" s="214"/>
      <c r="Y1048" s="214"/>
      <c r="Z1048" s="214"/>
    </row>
    <row r="1049" ht="15.75" customHeight="1">
      <c r="A1049" s="214"/>
      <c r="B1049" s="214"/>
      <c r="C1049" s="214"/>
      <c r="D1049" s="214"/>
      <c r="E1049" s="214"/>
      <c r="F1049" s="214"/>
      <c r="G1049" s="214"/>
      <c r="H1049" s="214"/>
      <c r="I1049" s="214"/>
      <c r="J1049" s="214"/>
      <c r="K1049" s="214"/>
      <c r="L1049" s="214"/>
      <c r="M1049" s="214"/>
      <c r="N1049" s="214"/>
      <c r="O1049" s="214"/>
      <c r="P1049" s="214"/>
      <c r="Q1049" s="214"/>
      <c r="R1049" s="214"/>
      <c r="S1049" s="214"/>
      <c r="T1049" s="214"/>
      <c r="U1049" s="214"/>
      <c r="V1049" s="214"/>
      <c r="W1049" s="214"/>
      <c r="X1049" s="214"/>
      <c r="Y1049" s="214"/>
      <c r="Z1049" s="214"/>
    </row>
    <row r="1050" ht="15.75" customHeight="1">
      <c r="A1050" s="214"/>
      <c r="B1050" s="214"/>
      <c r="C1050" s="214"/>
      <c r="D1050" s="214"/>
      <c r="E1050" s="214"/>
      <c r="F1050" s="214"/>
      <c r="G1050" s="214"/>
      <c r="H1050" s="214"/>
      <c r="I1050" s="214"/>
      <c r="J1050" s="214"/>
      <c r="K1050" s="214"/>
      <c r="L1050" s="214"/>
      <c r="M1050" s="214"/>
      <c r="N1050" s="214"/>
      <c r="O1050" s="214"/>
      <c r="P1050" s="214"/>
      <c r="Q1050" s="214"/>
      <c r="R1050" s="214"/>
      <c r="S1050" s="214"/>
      <c r="T1050" s="214"/>
      <c r="U1050" s="214"/>
      <c r="V1050" s="214"/>
      <c r="W1050" s="214"/>
      <c r="X1050" s="214"/>
      <c r="Y1050" s="214"/>
      <c r="Z1050" s="214"/>
    </row>
    <row r="1051" ht="15.75" customHeight="1">
      <c r="A1051" s="214"/>
      <c r="B1051" s="214"/>
      <c r="C1051" s="214"/>
      <c r="D1051" s="214"/>
      <c r="E1051" s="214"/>
      <c r="F1051" s="214"/>
      <c r="G1051" s="214"/>
      <c r="H1051" s="214"/>
      <c r="I1051" s="214"/>
      <c r="J1051" s="214"/>
      <c r="K1051" s="214"/>
      <c r="L1051" s="214"/>
      <c r="M1051" s="214"/>
      <c r="N1051" s="214"/>
      <c r="O1051" s="214"/>
      <c r="P1051" s="214"/>
      <c r="Q1051" s="214"/>
      <c r="R1051" s="214"/>
      <c r="S1051" s="214"/>
      <c r="T1051" s="214"/>
      <c r="U1051" s="214"/>
      <c r="V1051" s="214"/>
      <c r="W1051" s="214"/>
      <c r="X1051" s="214"/>
      <c r="Y1051" s="214"/>
      <c r="Z1051" s="214"/>
    </row>
    <row r="1052" ht="15.75" customHeight="1">
      <c r="A1052" s="214"/>
      <c r="B1052" s="214"/>
      <c r="C1052" s="214"/>
      <c r="D1052" s="214"/>
      <c r="E1052" s="214"/>
      <c r="F1052" s="214"/>
      <c r="G1052" s="214"/>
      <c r="H1052" s="214"/>
      <c r="I1052" s="214"/>
      <c r="J1052" s="214"/>
      <c r="K1052" s="214"/>
      <c r="L1052" s="214"/>
      <c r="M1052" s="214"/>
      <c r="N1052" s="214"/>
      <c r="O1052" s="214"/>
      <c r="P1052" s="214"/>
      <c r="Q1052" s="214"/>
      <c r="R1052" s="214"/>
      <c r="S1052" s="214"/>
      <c r="T1052" s="214"/>
      <c r="U1052" s="214"/>
      <c r="V1052" s="214"/>
      <c r="W1052" s="214"/>
      <c r="X1052" s="214"/>
      <c r="Y1052" s="214"/>
      <c r="Z1052" s="214"/>
    </row>
    <row r="1053" ht="15.75" customHeight="1">
      <c r="A1053" s="214"/>
      <c r="B1053" s="214"/>
      <c r="C1053" s="214"/>
      <c r="D1053" s="214"/>
      <c r="E1053" s="214"/>
      <c r="F1053" s="214"/>
      <c r="G1053" s="214"/>
      <c r="H1053" s="214"/>
      <c r="I1053" s="214"/>
      <c r="J1053" s="214"/>
      <c r="K1053" s="214"/>
      <c r="L1053" s="214"/>
      <c r="M1053" s="214"/>
      <c r="N1053" s="214"/>
      <c r="O1053" s="214"/>
      <c r="P1053" s="214"/>
      <c r="Q1053" s="214"/>
      <c r="R1053" s="214"/>
      <c r="S1053" s="214"/>
      <c r="T1053" s="214"/>
      <c r="U1053" s="214"/>
      <c r="V1053" s="214"/>
      <c r="W1053" s="214"/>
      <c r="X1053" s="214"/>
      <c r="Y1053" s="214"/>
      <c r="Z1053" s="214"/>
    </row>
    <row r="1054" ht="15.75" customHeight="1">
      <c r="A1054" s="214"/>
      <c r="B1054" s="214"/>
      <c r="C1054" s="214"/>
      <c r="D1054" s="214"/>
      <c r="E1054" s="214"/>
      <c r="F1054" s="214"/>
      <c r="G1054" s="214"/>
      <c r="H1054" s="214"/>
      <c r="I1054" s="214"/>
      <c r="J1054" s="214"/>
      <c r="K1054" s="214"/>
      <c r="L1054" s="214"/>
      <c r="M1054" s="214"/>
      <c r="N1054" s="214"/>
      <c r="O1054" s="214"/>
      <c r="P1054" s="214"/>
      <c r="Q1054" s="214"/>
      <c r="R1054" s="214"/>
      <c r="S1054" s="214"/>
      <c r="T1054" s="214"/>
      <c r="U1054" s="214"/>
      <c r="V1054" s="214"/>
      <c r="W1054" s="214"/>
      <c r="X1054" s="214"/>
      <c r="Y1054" s="214"/>
      <c r="Z1054" s="214"/>
    </row>
    <row r="1055" ht="15.75" customHeight="1">
      <c r="A1055" s="214"/>
      <c r="B1055" s="214"/>
      <c r="C1055" s="214"/>
      <c r="D1055" s="214"/>
      <c r="E1055" s="214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  <c r="P1055" s="214"/>
      <c r="Q1055" s="214"/>
      <c r="R1055" s="214"/>
      <c r="S1055" s="214"/>
      <c r="T1055" s="214"/>
      <c r="U1055" s="214"/>
      <c r="V1055" s="214"/>
      <c r="W1055" s="214"/>
      <c r="X1055" s="214"/>
      <c r="Y1055" s="214"/>
      <c r="Z1055" s="214"/>
    </row>
    <row r="1056" ht="15.75" customHeight="1">
      <c r="A1056" s="214"/>
      <c r="B1056" s="214"/>
      <c r="C1056" s="214"/>
      <c r="D1056" s="214"/>
      <c r="E1056" s="214"/>
      <c r="F1056" s="214"/>
      <c r="G1056" s="214"/>
      <c r="H1056" s="214"/>
      <c r="I1056" s="214"/>
      <c r="J1056" s="214"/>
      <c r="K1056" s="214"/>
      <c r="L1056" s="214"/>
      <c r="M1056" s="214"/>
      <c r="N1056" s="214"/>
      <c r="O1056" s="214"/>
      <c r="P1056" s="214"/>
      <c r="Q1056" s="214"/>
      <c r="R1056" s="214"/>
      <c r="S1056" s="214"/>
      <c r="T1056" s="214"/>
      <c r="U1056" s="214"/>
      <c r="V1056" s="214"/>
      <c r="W1056" s="214"/>
      <c r="X1056" s="214"/>
      <c r="Y1056" s="214"/>
      <c r="Z1056" s="214"/>
    </row>
    <row r="1057" ht="15.75" customHeight="1">
      <c r="A1057" s="214"/>
      <c r="B1057" s="214"/>
      <c r="C1057" s="214"/>
      <c r="D1057" s="214"/>
      <c r="E1057" s="214"/>
      <c r="F1057" s="214"/>
      <c r="G1057" s="214"/>
      <c r="H1057" s="214"/>
      <c r="I1057" s="214"/>
      <c r="J1057" s="214"/>
      <c r="K1057" s="214"/>
      <c r="L1057" s="214"/>
      <c r="M1057" s="214"/>
      <c r="N1057" s="214"/>
      <c r="O1057" s="214"/>
      <c r="P1057" s="214"/>
      <c r="Q1057" s="214"/>
      <c r="R1057" s="214"/>
      <c r="S1057" s="214"/>
      <c r="T1057" s="214"/>
      <c r="U1057" s="214"/>
      <c r="V1057" s="214"/>
      <c r="W1057" s="214"/>
      <c r="X1057" s="214"/>
      <c r="Y1057" s="214"/>
      <c r="Z1057" s="214"/>
    </row>
    <row r="1058" ht="15.75" customHeight="1">
      <c r="A1058" s="214"/>
      <c r="B1058" s="214"/>
      <c r="C1058" s="214"/>
      <c r="D1058" s="214"/>
      <c r="E1058" s="214"/>
      <c r="F1058" s="214"/>
      <c r="G1058" s="214"/>
      <c r="H1058" s="214"/>
      <c r="I1058" s="214"/>
      <c r="J1058" s="214"/>
      <c r="K1058" s="214"/>
      <c r="L1058" s="214"/>
      <c r="M1058" s="214"/>
      <c r="N1058" s="214"/>
      <c r="O1058" s="214"/>
      <c r="P1058" s="214"/>
      <c r="Q1058" s="214"/>
      <c r="R1058" s="214"/>
      <c r="S1058" s="214"/>
      <c r="T1058" s="214"/>
      <c r="U1058" s="214"/>
      <c r="V1058" s="214"/>
      <c r="W1058" s="214"/>
      <c r="X1058" s="214"/>
      <c r="Y1058" s="214"/>
      <c r="Z1058" s="214"/>
    </row>
    <row r="1059" ht="15.75" customHeight="1">
      <c r="A1059" s="214"/>
      <c r="B1059" s="214"/>
      <c r="C1059" s="214"/>
      <c r="D1059" s="214"/>
      <c r="E1059" s="214"/>
      <c r="F1059" s="214"/>
      <c r="G1059" s="214"/>
      <c r="H1059" s="214"/>
      <c r="I1059" s="214"/>
      <c r="J1059" s="214"/>
      <c r="K1059" s="214"/>
      <c r="L1059" s="214"/>
      <c r="M1059" s="214"/>
      <c r="N1059" s="214"/>
      <c r="O1059" s="214"/>
      <c r="P1059" s="214"/>
      <c r="Q1059" s="214"/>
      <c r="R1059" s="214"/>
      <c r="S1059" s="214"/>
      <c r="T1059" s="214"/>
      <c r="U1059" s="214"/>
      <c r="V1059" s="214"/>
      <c r="W1059" s="214"/>
      <c r="X1059" s="214"/>
      <c r="Y1059" s="214"/>
      <c r="Z1059" s="214"/>
    </row>
    <row r="1060" ht="15.75" customHeight="1">
      <c r="A1060" s="214"/>
      <c r="B1060" s="214"/>
      <c r="C1060" s="214"/>
      <c r="D1060" s="214"/>
      <c r="E1060" s="214"/>
      <c r="F1060" s="214"/>
      <c r="G1060" s="214"/>
      <c r="H1060" s="214"/>
      <c r="I1060" s="214"/>
      <c r="J1060" s="214"/>
      <c r="K1060" s="214"/>
      <c r="L1060" s="214"/>
      <c r="M1060" s="214"/>
      <c r="N1060" s="214"/>
      <c r="O1060" s="214"/>
      <c r="P1060" s="214"/>
      <c r="Q1060" s="214"/>
      <c r="R1060" s="214"/>
      <c r="S1060" s="214"/>
      <c r="T1060" s="214"/>
      <c r="U1060" s="214"/>
      <c r="V1060" s="214"/>
      <c r="W1060" s="214"/>
      <c r="X1060" s="214"/>
      <c r="Y1060" s="214"/>
      <c r="Z1060" s="214"/>
    </row>
    <row r="1061" ht="15.75" customHeight="1">
      <c r="A1061" s="214"/>
      <c r="B1061" s="214"/>
      <c r="C1061" s="214"/>
      <c r="D1061" s="214"/>
      <c r="E1061" s="214"/>
      <c r="F1061" s="214"/>
      <c r="G1061" s="214"/>
      <c r="H1061" s="214"/>
      <c r="I1061" s="214"/>
      <c r="J1061" s="214"/>
      <c r="K1061" s="214"/>
      <c r="L1061" s="214"/>
      <c r="M1061" s="214"/>
      <c r="N1061" s="214"/>
      <c r="O1061" s="214"/>
      <c r="P1061" s="214"/>
      <c r="Q1061" s="214"/>
      <c r="R1061" s="214"/>
      <c r="S1061" s="214"/>
      <c r="T1061" s="214"/>
      <c r="U1061" s="214"/>
      <c r="V1061" s="214"/>
      <c r="W1061" s="214"/>
      <c r="X1061" s="214"/>
      <c r="Y1061" s="214"/>
      <c r="Z1061" s="214"/>
    </row>
    <row r="1062" ht="15.75" customHeight="1">
      <c r="A1062" s="214"/>
      <c r="B1062" s="214"/>
      <c r="C1062" s="214"/>
      <c r="D1062" s="214"/>
      <c r="E1062" s="214"/>
      <c r="F1062" s="214"/>
      <c r="G1062" s="214"/>
      <c r="H1062" s="214"/>
      <c r="I1062" s="214"/>
      <c r="J1062" s="214"/>
      <c r="K1062" s="214"/>
      <c r="L1062" s="214"/>
      <c r="M1062" s="214"/>
      <c r="N1062" s="214"/>
      <c r="O1062" s="214"/>
      <c r="P1062" s="214"/>
      <c r="Q1062" s="214"/>
      <c r="R1062" s="214"/>
      <c r="S1062" s="214"/>
      <c r="T1062" s="214"/>
      <c r="U1062" s="214"/>
      <c r="V1062" s="214"/>
      <c r="W1062" s="214"/>
      <c r="X1062" s="214"/>
      <c r="Y1062" s="214"/>
      <c r="Z1062" s="214"/>
    </row>
    <row r="1063" ht="15.75" customHeight="1">
      <c r="A1063" s="214"/>
      <c r="B1063" s="214"/>
      <c r="C1063" s="214"/>
      <c r="D1063" s="214"/>
      <c r="E1063" s="214"/>
      <c r="F1063" s="214"/>
      <c r="G1063" s="214"/>
      <c r="H1063" s="214"/>
      <c r="I1063" s="214"/>
      <c r="J1063" s="214"/>
      <c r="K1063" s="214"/>
      <c r="L1063" s="214"/>
      <c r="M1063" s="214"/>
      <c r="N1063" s="214"/>
      <c r="O1063" s="214"/>
      <c r="P1063" s="214"/>
      <c r="Q1063" s="214"/>
      <c r="R1063" s="214"/>
      <c r="S1063" s="214"/>
      <c r="T1063" s="214"/>
      <c r="U1063" s="214"/>
      <c r="V1063" s="214"/>
      <c r="W1063" s="214"/>
      <c r="X1063" s="214"/>
      <c r="Y1063" s="214"/>
      <c r="Z1063" s="214"/>
    </row>
    <row r="1064" ht="15.75" customHeight="1">
      <c r="A1064" s="214"/>
      <c r="B1064" s="214"/>
      <c r="C1064" s="214"/>
      <c r="D1064" s="214"/>
      <c r="E1064" s="214"/>
      <c r="F1064" s="214"/>
      <c r="G1064" s="214"/>
      <c r="H1064" s="214"/>
      <c r="I1064" s="214"/>
      <c r="J1064" s="214"/>
      <c r="K1064" s="214"/>
      <c r="L1064" s="214"/>
      <c r="M1064" s="214"/>
      <c r="N1064" s="214"/>
      <c r="O1064" s="214"/>
      <c r="P1064" s="214"/>
      <c r="Q1064" s="214"/>
      <c r="R1064" s="214"/>
      <c r="S1064" s="214"/>
      <c r="T1064" s="214"/>
      <c r="U1064" s="214"/>
      <c r="V1064" s="214"/>
      <c r="W1064" s="214"/>
      <c r="X1064" s="214"/>
      <c r="Y1064" s="214"/>
      <c r="Z1064" s="214"/>
    </row>
    <row r="1065" ht="15.75" customHeight="1">
      <c r="A1065" s="214"/>
      <c r="B1065" s="214"/>
      <c r="C1065" s="214"/>
      <c r="D1065" s="214"/>
      <c r="E1065" s="214"/>
      <c r="F1065" s="214"/>
      <c r="G1065" s="214"/>
      <c r="H1065" s="214"/>
      <c r="I1065" s="214"/>
      <c r="J1065" s="214"/>
      <c r="K1065" s="214"/>
      <c r="L1065" s="214"/>
      <c r="M1065" s="214"/>
      <c r="N1065" s="214"/>
      <c r="O1065" s="214"/>
      <c r="P1065" s="214"/>
      <c r="Q1065" s="214"/>
      <c r="R1065" s="214"/>
      <c r="S1065" s="214"/>
      <c r="T1065" s="214"/>
      <c r="U1065" s="214"/>
      <c r="V1065" s="214"/>
      <c r="W1065" s="214"/>
      <c r="X1065" s="214"/>
      <c r="Y1065" s="214"/>
      <c r="Z1065" s="214"/>
    </row>
    <row r="1066" ht="15.75" customHeight="1">
      <c r="A1066" s="214"/>
      <c r="B1066" s="214"/>
      <c r="C1066" s="214"/>
      <c r="D1066" s="214"/>
      <c r="E1066" s="214"/>
      <c r="F1066" s="214"/>
      <c r="G1066" s="214"/>
      <c r="H1066" s="214"/>
      <c r="I1066" s="214"/>
      <c r="J1066" s="214"/>
      <c r="K1066" s="214"/>
      <c r="L1066" s="214"/>
      <c r="M1066" s="214"/>
      <c r="N1066" s="214"/>
      <c r="O1066" s="214"/>
      <c r="P1066" s="214"/>
      <c r="Q1066" s="214"/>
      <c r="R1066" s="214"/>
      <c r="S1066" s="214"/>
      <c r="T1066" s="214"/>
      <c r="U1066" s="214"/>
      <c r="V1066" s="214"/>
      <c r="W1066" s="214"/>
      <c r="X1066" s="214"/>
      <c r="Y1066" s="214"/>
      <c r="Z1066" s="214"/>
    </row>
    <row r="1067" ht="15.75" customHeight="1">
      <c r="A1067" s="214"/>
      <c r="B1067" s="214"/>
      <c r="C1067" s="214"/>
      <c r="D1067" s="214"/>
      <c r="E1067" s="214"/>
      <c r="F1067" s="214"/>
      <c r="G1067" s="214"/>
      <c r="H1067" s="214"/>
      <c r="I1067" s="214"/>
      <c r="J1067" s="214"/>
      <c r="K1067" s="214"/>
      <c r="L1067" s="214"/>
      <c r="M1067" s="214"/>
      <c r="N1067" s="214"/>
      <c r="O1067" s="214"/>
      <c r="P1067" s="214"/>
      <c r="Q1067" s="214"/>
      <c r="R1067" s="214"/>
      <c r="S1067" s="214"/>
      <c r="T1067" s="214"/>
      <c r="U1067" s="214"/>
      <c r="V1067" s="214"/>
      <c r="W1067" s="214"/>
      <c r="X1067" s="214"/>
      <c r="Y1067" s="214"/>
      <c r="Z1067" s="214"/>
    </row>
    <row r="1068" ht="15.75" customHeight="1">
      <c r="A1068" s="214"/>
      <c r="B1068" s="214"/>
      <c r="C1068" s="214"/>
      <c r="D1068" s="214"/>
      <c r="E1068" s="214"/>
      <c r="F1068" s="214"/>
      <c r="G1068" s="214"/>
      <c r="H1068" s="214"/>
      <c r="I1068" s="214"/>
      <c r="J1068" s="214"/>
      <c r="K1068" s="214"/>
      <c r="L1068" s="214"/>
      <c r="M1068" s="214"/>
      <c r="N1068" s="214"/>
      <c r="O1068" s="214"/>
      <c r="P1068" s="214"/>
      <c r="Q1068" s="214"/>
      <c r="R1068" s="214"/>
      <c r="S1068" s="214"/>
      <c r="T1068" s="214"/>
      <c r="U1068" s="214"/>
      <c r="V1068" s="214"/>
      <c r="W1068" s="214"/>
      <c r="X1068" s="214"/>
      <c r="Y1068" s="214"/>
      <c r="Z1068" s="214"/>
    </row>
    <row r="1069" ht="15.75" customHeight="1">
      <c r="A1069" s="214"/>
      <c r="B1069" s="214"/>
      <c r="C1069" s="214"/>
      <c r="D1069" s="214"/>
      <c r="E1069" s="214"/>
      <c r="F1069" s="214"/>
      <c r="G1069" s="214"/>
      <c r="H1069" s="214"/>
      <c r="I1069" s="214"/>
      <c r="J1069" s="214"/>
      <c r="K1069" s="214"/>
      <c r="L1069" s="214"/>
      <c r="M1069" s="214"/>
      <c r="N1069" s="214"/>
      <c r="O1069" s="214"/>
      <c r="P1069" s="214"/>
      <c r="Q1069" s="214"/>
      <c r="R1069" s="214"/>
      <c r="S1069" s="214"/>
      <c r="T1069" s="214"/>
      <c r="U1069" s="214"/>
      <c r="V1069" s="214"/>
      <c r="W1069" s="214"/>
      <c r="X1069" s="214"/>
      <c r="Y1069" s="214"/>
      <c r="Z1069" s="214"/>
    </row>
    <row r="1070" ht="15.75" customHeight="1">
      <c r="A1070" s="214"/>
      <c r="B1070" s="214"/>
      <c r="C1070" s="214"/>
      <c r="D1070" s="214"/>
      <c r="E1070" s="214"/>
      <c r="F1070" s="214"/>
      <c r="G1070" s="214"/>
      <c r="H1070" s="214"/>
      <c r="I1070" s="214"/>
      <c r="J1070" s="214"/>
      <c r="K1070" s="214"/>
      <c r="L1070" s="214"/>
      <c r="M1070" s="214"/>
      <c r="N1070" s="214"/>
      <c r="O1070" s="214"/>
      <c r="P1070" s="214"/>
      <c r="Q1070" s="214"/>
      <c r="R1070" s="214"/>
      <c r="S1070" s="214"/>
      <c r="T1070" s="214"/>
      <c r="U1070" s="214"/>
      <c r="V1070" s="214"/>
      <c r="W1070" s="214"/>
      <c r="X1070" s="214"/>
      <c r="Y1070" s="214"/>
      <c r="Z1070" s="214"/>
    </row>
    <row r="1071" ht="15.75" customHeight="1">
      <c r="A1071" s="214"/>
      <c r="B1071" s="214"/>
      <c r="C1071" s="214"/>
      <c r="D1071" s="214"/>
      <c r="E1071" s="214"/>
      <c r="F1071" s="214"/>
      <c r="G1071" s="214"/>
      <c r="H1071" s="214"/>
      <c r="I1071" s="214"/>
      <c r="J1071" s="214"/>
      <c r="K1071" s="214"/>
      <c r="L1071" s="214"/>
      <c r="M1071" s="214"/>
      <c r="N1071" s="214"/>
      <c r="O1071" s="214"/>
      <c r="P1071" s="214"/>
      <c r="Q1071" s="214"/>
      <c r="R1071" s="214"/>
      <c r="S1071" s="214"/>
      <c r="T1071" s="214"/>
      <c r="U1071" s="214"/>
      <c r="V1071" s="214"/>
      <c r="W1071" s="214"/>
      <c r="X1071" s="214"/>
      <c r="Y1071" s="214"/>
      <c r="Z1071" s="214"/>
    </row>
    <row r="1072" ht="15.75" customHeight="1">
      <c r="A1072" s="214"/>
      <c r="B1072" s="214"/>
      <c r="C1072" s="214"/>
      <c r="D1072" s="214"/>
      <c r="E1072" s="214"/>
      <c r="F1072" s="214"/>
      <c r="G1072" s="214"/>
      <c r="H1072" s="214"/>
      <c r="I1072" s="214"/>
      <c r="J1072" s="214"/>
      <c r="K1072" s="214"/>
      <c r="L1072" s="214"/>
      <c r="M1072" s="214"/>
      <c r="N1072" s="214"/>
      <c r="O1072" s="214"/>
      <c r="P1072" s="214"/>
      <c r="Q1072" s="214"/>
      <c r="R1072" s="214"/>
      <c r="S1072" s="214"/>
      <c r="T1072" s="214"/>
      <c r="U1072" s="214"/>
      <c r="V1072" s="214"/>
      <c r="W1072" s="214"/>
      <c r="X1072" s="214"/>
      <c r="Y1072" s="214"/>
      <c r="Z1072" s="214"/>
    </row>
    <row r="1073" ht="15.75" customHeight="1">
      <c r="A1073" s="214"/>
      <c r="B1073" s="214"/>
      <c r="C1073" s="214"/>
      <c r="D1073" s="214"/>
      <c r="E1073" s="214"/>
      <c r="F1073" s="214"/>
      <c r="G1073" s="214"/>
      <c r="H1073" s="214"/>
      <c r="I1073" s="214"/>
      <c r="J1073" s="214"/>
      <c r="K1073" s="214"/>
      <c r="L1073" s="214"/>
      <c r="M1073" s="214"/>
      <c r="N1073" s="214"/>
      <c r="O1073" s="214"/>
      <c r="P1073" s="214"/>
      <c r="Q1073" s="214"/>
      <c r="R1073" s="214"/>
      <c r="S1073" s="214"/>
      <c r="T1073" s="214"/>
      <c r="U1073" s="214"/>
      <c r="V1073" s="214"/>
      <c r="W1073" s="214"/>
      <c r="X1073" s="214"/>
      <c r="Y1073" s="214"/>
      <c r="Z1073" s="214"/>
    </row>
    <row r="1074" ht="15.75" customHeight="1">
      <c r="A1074" s="214"/>
      <c r="B1074" s="214"/>
      <c r="C1074" s="214"/>
      <c r="D1074" s="214"/>
      <c r="E1074" s="214"/>
      <c r="F1074" s="214"/>
      <c r="G1074" s="214"/>
      <c r="H1074" s="214"/>
      <c r="I1074" s="214"/>
      <c r="J1074" s="214"/>
      <c r="K1074" s="214"/>
      <c r="L1074" s="214"/>
      <c r="M1074" s="214"/>
      <c r="N1074" s="214"/>
      <c r="O1074" s="214"/>
      <c r="P1074" s="214"/>
      <c r="Q1074" s="214"/>
      <c r="R1074" s="214"/>
      <c r="S1074" s="214"/>
      <c r="T1074" s="214"/>
      <c r="U1074" s="214"/>
      <c r="V1074" s="214"/>
      <c r="W1074" s="214"/>
      <c r="X1074" s="214"/>
      <c r="Y1074" s="214"/>
      <c r="Z1074" s="214"/>
    </row>
    <row r="1075" ht="15.75" customHeight="1">
      <c r="A1075" s="214"/>
      <c r="B1075" s="214"/>
      <c r="C1075" s="214"/>
      <c r="D1075" s="214"/>
      <c r="E1075" s="214"/>
      <c r="F1075" s="214"/>
      <c r="G1075" s="214"/>
      <c r="H1075" s="214"/>
      <c r="I1075" s="214"/>
      <c r="J1075" s="214"/>
      <c r="K1075" s="214"/>
      <c r="L1075" s="214"/>
      <c r="M1075" s="214"/>
      <c r="N1075" s="214"/>
      <c r="O1075" s="214"/>
      <c r="P1075" s="214"/>
      <c r="Q1075" s="214"/>
      <c r="R1075" s="214"/>
      <c r="S1075" s="214"/>
      <c r="T1075" s="214"/>
      <c r="U1075" s="214"/>
      <c r="V1075" s="214"/>
      <c r="W1075" s="214"/>
      <c r="X1075" s="214"/>
      <c r="Y1075" s="214"/>
      <c r="Z1075" s="214"/>
    </row>
    <row r="1076" ht="15.75" customHeight="1">
      <c r="A1076" s="214"/>
      <c r="B1076" s="214"/>
      <c r="C1076" s="214"/>
      <c r="D1076" s="214"/>
      <c r="E1076" s="214"/>
      <c r="F1076" s="214"/>
      <c r="G1076" s="214"/>
      <c r="H1076" s="214"/>
      <c r="I1076" s="214"/>
      <c r="J1076" s="214"/>
      <c r="K1076" s="214"/>
      <c r="L1076" s="214"/>
      <c r="M1076" s="214"/>
      <c r="N1076" s="214"/>
      <c r="O1076" s="214"/>
      <c r="P1076" s="214"/>
      <c r="Q1076" s="214"/>
      <c r="R1076" s="214"/>
      <c r="S1076" s="214"/>
      <c r="T1076" s="214"/>
      <c r="U1076" s="214"/>
      <c r="V1076" s="214"/>
      <c r="W1076" s="214"/>
      <c r="X1076" s="214"/>
      <c r="Y1076" s="214"/>
      <c r="Z1076" s="214"/>
    </row>
    <row r="1077" ht="15.75" customHeight="1">
      <c r="A1077" s="214"/>
      <c r="B1077" s="214"/>
      <c r="C1077" s="214"/>
      <c r="D1077" s="214"/>
      <c r="E1077" s="214"/>
      <c r="F1077" s="214"/>
      <c r="G1077" s="214"/>
      <c r="H1077" s="214"/>
      <c r="I1077" s="214"/>
      <c r="J1077" s="214"/>
      <c r="K1077" s="214"/>
      <c r="L1077" s="214"/>
      <c r="M1077" s="214"/>
      <c r="N1077" s="214"/>
      <c r="O1077" s="214"/>
      <c r="P1077" s="214"/>
      <c r="Q1077" s="214"/>
      <c r="R1077" s="214"/>
      <c r="S1077" s="214"/>
      <c r="T1077" s="214"/>
      <c r="U1077" s="214"/>
      <c r="V1077" s="214"/>
      <c r="W1077" s="214"/>
      <c r="X1077" s="214"/>
      <c r="Y1077" s="214"/>
      <c r="Z1077" s="214"/>
    </row>
    <row r="1078" ht="15.75" customHeight="1">
      <c r="A1078" s="214"/>
      <c r="B1078" s="214"/>
      <c r="C1078" s="214"/>
      <c r="D1078" s="214"/>
      <c r="E1078" s="214"/>
      <c r="F1078" s="214"/>
      <c r="G1078" s="214"/>
      <c r="H1078" s="214"/>
      <c r="I1078" s="214"/>
      <c r="J1078" s="214"/>
      <c r="K1078" s="214"/>
      <c r="L1078" s="214"/>
      <c r="M1078" s="214"/>
      <c r="N1078" s="214"/>
      <c r="O1078" s="214"/>
      <c r="P1078" s="214"/>
      <c r="Q1078" s="214"/>
      <c r="R1078" s="214"/>
      <c r="S1078" s="214"/>
      <c r="T1078" s="214"/>
      <c r="U1078" s="214"/>
      <c r="V1078" s="214"/>
      <c r="W1078" s="214"/>
      <c r="X1078" s="214"/>
      <c r="Y1078" s="214"/>
      <c r="Z1078" s="214"/>
    </row>
    <row r="1079" ht="15.75" customHeight="1">
      <c r="A1079" s="214"/>
      <c r="B1079" s="214"/>
      <c r="C1079" s="214"/>
      <c r="D1079" s="214"/>
      <c r="E1079" s="214"/>
      <c r="F1079" s="214"/>
      <c r="G1079" s="214"/>
      <c r="H1079" s="214"/>
      <c r="I1079" s="214"/>
      <c r="J1079" s="214"/>
      <c r="K1079" s="214"/>
      <c r="L1079" s="214"/>
      <c r="M1079" s="214"/>
      <c r="N1079" s="214"/>
      <c r="O1079" s="214"/>
      <c r="P1079" s="214"/>
      <c r="Q1079" s="214"/>
      <c r="R1079" s="214"/>
      <c r="S1079" s="214"/>
      <c r="T1079" s="214"/>
      <c r="U1079" s="214"/>
      <c r="V1079" s="214"/>
      <c r="W1079" s="214"/>
      <c r="X1079" s="214"/>
      <c r="Y1079" s="214"/>
      <c r="Z1079" s="214"/>
    </row>
    <row r="1080" ht="15.75" customHeight="1">
      <c r="A1080" s="214"/>
      <c r="B1080" s="214"/>
      <c r="C1080" s="214"/>
      <c r="D1080" s="214"/>
      <c r="E1080" s="214"/>
      <c r="F1080" s="214"/>
      <c r="G1080" s="214"/>
      <c r="H1080" s="214"/>
      <c r="I1080" s="214"/>
      <c r="J1080" s="214"/>
      <c r="K1080" s="214"/>
      <c r="L1080" s="214"/>
      <c r="M1080" s="214"/>
      <c r="N1080" s="214"/>
      <c r="O1080" s="214"/>
      <c r="P1080" s="214"/>
      <c r="Q1080" s="214"/>
      <c r="R1080" s="214"/>
      <c r="S1080" s="214"/>
      <c r="T1080" s="214"/>
      <c r="U1080" s="214"/>
      <c r="V1080" s="214"/>
      <c r="W1080" s="214"/>
      <c r="X1080" s="214"/>
      <c r="Y1080" s="214"/>
      <c r="Z1080" s="214"/>
    </row>
    <row r="1081" ht="15.75" customHeight="1">
      <c r="A1081" s="214"/>
      <c r="B1081" s="214"/>
      <c r="C1081" s="214"/>
      <c r="D1081" s="214"/>
      <c r="E1081" s="214"/>
      <c r="F1081" s="214"/>
      <c r="G1081" s="214"/>
      <c r="H1081" s="214"/>
      <c r="I1081" s="214"/>
      <c r="J1081" s="214"/>
      <c r="K1081" s="214"/>
      <c r="L1081" s="214"/>
      <c r="M1081" s="214"/>
      <c r="N1081" s="214"/>
      <c r="O1081" s="214"/>
      <c r="P1081" s="214"/>
      <c r="Q1081" s="214"/>
      <c r="R1081" s="214"/>
      <c r="S1081" s="214"/>
      <c r="T1081" s="214"/>
      <c r="U1081" s="214"/>
      <c r="V1081" s="214"/>
      <c r="W1081" s="214"/>
      <c r="X1081" s="214"/>
      <c r="Y1081" s="214"/>
      <c r="Z1081" s="214"/>
    </row>
    <row r="1082" ht="15.75" customHeight="1">
      <c r="A1082" s="214"/>
      <c r="B1082" s="214"/>
      <c r="C1082" s="214"/>
      <c r="D1082" s="214"/>
      <c r="E1082" s="214"/>
      <c r="F1082" s="214"/>
      <c r="G1082" s="214"/>
      <c r="H1082" s="214"/>
      <c r="I1082" s="214"/>
      <c r="J1082" s="214"/>
      <c r="K1082" s="214"/>
      <c r="L1082" s="214"/>
      <c r="M1082" s="214"/>
      <c r="N1082" s="214"/>
      <c r="O1082" s="214"/>
      <c r="P1082" s="214"/>
      <c r="Q1082" s="214"/>
      <c r="R1082" s="214"/>
      <c r="S1082" s="214"/>
      <c r="T1082" s="214"/>
      <c r="U1082" s="214"/>
      <c r="V1082" s="214"/>
      <c r="W1082" s="214"/>
      <c r="X1082" s="214"/>
      <c r="Y1082" s="214"/>
      <c r="Z1082" s="214"/>
    </row>
    <row r="1083" ht="15.75" customHeight="1">
      <c r="A1083" s="214"/>
      <c r="B1083" s="214"/>
      <c r="C1083" s="214"/>
      <c r="D1083" s="214"/>
      <c r="E1083" s="214"/>
      <c r="F1083" s="214"/>
      <c r="G1083" s="214"/>
      <c r="H1083" s="214"/>
      <c r="I1083" s="214"/>
      <c r="J1083" s="214"/>
      <c r="K1083" s="214"/>
      <c r="L1083" s="214"/>
      <c r="M1083" s="214"/>
      <c r="N1083" s="214"/>
      <c r="O1083" s="214"/>
      <c r="P1083" s="214"/>
      <c r="Q1083" s="214"/>
      <c r="R1083" s="214"/>
      <c r="S1083" s="214"/>
      <c r="T1083" s="214"/>
      <c r="U1083" s="214"/>
      <c r="V1083" s="214"/>
      <c r="W1083" s="214"/>
      <c r="X1083" s="214"/>
      <c r="Y1083" s="214"/>
      <c r="Z1083" s="214"/>
    </row>
    <row r="1084" ht="15.75" customHeight="1">
      <c r="A1084" s="214"/>
      <c r="B1084" s="214"/>
      <c r="C1084" s="214"/>
      <c r="D1084" s="214"/>
      <c r="E1084" s="214"/>
      <c r="F1084" s="214"/>
      <c r="G1084" s="214"/>
      <c r="H1084" s="214"/>
      <c r="I1084" s="214"/>
      <c r="J1084" s="214"/>
      <c r="K1084" s="214"/>
      <c r="L1084" s="214"/>
      <c r="M1084" s="214"/>
      <c r="N1084" s="214"/>
      <c r="O1084" s="214"/>
      <c r="P1084" s="214"/>
      <c r="Q1084" s="214"/>
      <c r="R1084" s="214"/>
      <c r="S1084" s="214"/>
      <c r="T1084" s="214"/>
      <c r="U1084" s="214"/>
      <c r="V1084" s="214"/>
      <c r="W1084" s="214"/>
      <c r="X1084" s="214"/>
      <c r="Y1084" s="214"/>
      <c r="Z1084" s="214"/>
    </row>
    <row r="1085" ht="15.75" customHeight="1">
      <c r="A1085" s="214"/>
      <c r="B1085" s="214"/>
      <c r="C1085" s="214"/>
      <c r="D1085" s="214"/>
      <c r="E1085" s="214"/>
      <c r="F1085" s="214"/>
      <c r="G1085" s="214"/>
      <c r="H1085" s="214"/>
      <c r="I1085" s="214"/>
      <c r="J1085" s="214"/>
      <c r="K1085" s="214"/>
      <c r="L1085" s="214"/>
      <c r="M1085" s="214"/>
      <c r="N1085" s="214"/>
      <c r="O1085" s="214"/>
      <c r="P1085" s="214"/>
      <c r="Q1085" s="214"/>
      <c r="R1085" s="214"/>
      <c r="S1085" s="214"/>
      <c r="T1085" s="214"/>
      <c r="U1085" s="214"/>
      <c r="V1085" s="214"/>
      <c r="W1085" s="214"/>
      <c r="X1085" s="214"/>
      <c r="Y1085" s="214"/>
      <c r="Z1085" s="214"/>
    </row>
    <row r="1086" ht="15.75" customHeight="1">
      <c r="A1086" s="214"/>
      <c r="B1086" s="214"/>
      <c r="C1086" s="214"/>
      <c r="D1086" s="214"/>
      <c r="E1086" s="214"/>
      <c r="F1086" s="214"/>
      <c r="G1086" s="214"/>
      <c r="H1086" s="214"/>
      <c r="I1086" s="214"/>
      <c r="J1086" s="214"/>
      <c r="K1086" s="214"/>
      <c r="L1086" s="214"/>
      <c r="M1086" s="214"/>
      <c r="N1086" s="214"/>
      <c r="O1086" s="214"/>
      <c r="P1086" s="214"/>
      <c r="Q1086" s="214"/>
      <c r="R1086" s="214"/>
      <c r="S1086" s="214"/>
      <c r="T1086" s="214"/>
      <c r="U1086" s="214"/>
      <c r="V1086" s="214"/>
      <c r="W1086" s="214"/>
      <c r="X1086" s="214"/>
      <c r="Y1086" s="214"/>
      <c r="Z1086" s="214"/>
    </row>
    <row r="1087" ht="15.75" customHeight="1">
      <c r="A1087" s="214"/>
      <c r="B1087" s="214"/>
      <c r="C1087" s="214"/>
      <c r="D1087" s="214"/>
      <c r="E1087" s="214"/>
      <c r="F1087" s="214"/>
      <c r="G1087" s="214"/>
      <c r="H1087" s="214"/>
      <c r="I1087" s="214"/>
      <c r="J1087" s="214"/>
      <c r="K1087" s="214"/>
      <c r="L1087" s="214"/>
      <c r="M1087" s="214"/>
      <c r="N1087" s="214"/>
      <c r="O1087" s="214"/>
      <c r="P1087" s="214"/>
      <c r="Q1087" s="214"/>
      <c r="R1087" s="214"/>
      <c r="S1087" s="214"/>
      <c r="T1087" s="214"/>
      <c r="U1087" s="214"/>
      <c r="V1087" s="214"/>
      <c r="W1087" s="214"/>
      <c r="X1087" s="214"/>
      <c r="Y1087" s="214"/>
      <c r="Z1087" s="214"/>
    </row>
    <row r="1088" ht="15.75" customHeight="1">
      <c r="A1088" s="214"/>
      <c r="B1088" s="214"/>
      <c r="C1088" s="214"/>
      <c r="D1088" s="214"/>
      <c r="E1088" s="214"/>
      <c r="F1088" s="214"/>
      <c r="G1088" s="214"/>
      <c r="H1088" s="214"/>
      <c r="I1088" s="214"/>
      <c r="J1088" s="214"/>
      <c r="K1088" s="214"/>
      <c r="L1088" s="214"/>
      <c r="M1088" s="214"/>
      <c r="N1088" s="214"/>
      <c r="O1088" s="214"/>
      <c r="P1088" s="214"/>
      <c r="Q1088" s="214"/>
      <c r="R1088" s="214"/>
      <c r="S1088" s="214"/>
      <c r="T1088" s="214"/>
      <c r="U1088" s="214"/>
      <c r="V1088" s="214"/>
      <c r="W1088" s="214"/>
      <c r="X1088" s="214"/>
      <c r="Y1088" s="214"/>
      <c r="Z1088" s="214"/>
    </row>
    <row r="1089" ht="15.75" customHeight="1">
      <c r="A1089" s="214"/>
      <c r="B1089" s="214"/>
      <c r="C1089" s="214"/>
      <c r="D1089" s="214"/>
      <c r="E1089" s="214"/>
      <c r="F1089" s="214"/>
      <c r="G1089" s="214"/>
      <c r="H1089" s="214"/>
      <c r="I1089" s="214"/>
      <c r="J1089" s="214"/>
      <c r="K1089" s="214"/>
      <c r="L1089" s="214"/>
      <c r="M1089" s="214"/>
      <c r="N1089" s="214"/>
      <c r="O1089" s="214"/>
      <c r="P1089" s="214"/>
      <c r="Q1089" s="214"/>
      <c r="R1089" s="214"/>
      <c r="S1089" s="214"/>
      <c r="T1089" s="214"/>
      <c r="U1089" s="214"/>
      <c r="V1089" s="214"/>
      <c r="W1089" s="214"/>
      <c r="X1089" s="214"/>
      <c r="Y1089" s="214"/>
      <c r="Z1089" s="214"/>
    </row>
    <row r="1090" ht="15.75" customHeight="1">
      <c r="A1090" s="214"/>
      <c r="B1090" s="214"/>
      <c r="C1090" s="214"/>
      <c r="D1090" s="214"/>
      <c r="E1090" s="214"/>
      <c r="F1090" s="214"/>
      <c r="G1090" s="214"/>
      <c r="H1090" s="214"/>
      <c r="I1090" s="214"/>
      <c r="J1090" s="214"/>
      <c r="K1090" s="214"/>
      <c r="L1090" s="214"/>
      <c r="M1090" s="214"/>
      <c r="N1090" s="214"/>
      <c r="O1090" s="214"/>
      <c r="P1090" s="214"/>
      <c r="Q1090" s="214"/>
      <c r="R1090" s="214"/>
      <c r="S1090" s="214"/>
      <c r="T1090" s="214"/>
      <c r="U1090" s="214"/>
      <c r="V1090" s="214"/>
      <c r="W1090" s="214"/>
      <c r="X1090" s="214"/>
      <c r="Y1090" s="214"/>
      <c r="Z1090" s="214"/>
    </row>
    <row r="1091" ht="15.75" customHeight="1">
      <c r="A1091" s="214"/>
      <c r="B1091" s="214"/>
      <c r="C1091" s="214"/>
      <c r="D1091" s="214"/>
      <c r="E1091" s="214"/>
      <c r="F1091" s="214"/>
      <c r="G1091" s="214"/>
      <c r="H1091" s="214"/>
      <c r="I1091" s="214"/>
      <c r="J1091" s="214"/>
      <c r="K1091" s="214"/>
      <c r="L1091" s="214"/>
      <c r="M1091" s="214"/>
      <c r="N1091" s="214"/>
      <c r="O1091" s="214"/>
      <c r="P1091" s="214"/>
      <c r="Q1091" s="214"/>
      <c r="R1091" s="214"/>
      <c r="S1091" s="214"/>
      <c r="T1091" s="214"/>
      <c r="U1091" s="214"/>
      <c r="V1091" s="214"/>
      <c r="W1091" s="214"/>
      <c r="X1091" s="214"/>
      <c r="Y1091" s="214"/>
      <c r="Z1091" s="214"/>
    </row>
    <row r="1092" ht="15.75" customHeight="1">
      <c r="A1092" s="214"/>
      <c r="B1092" s="214"/>
      <c r="C1092" s="214"/>
      <c r="D1092" s="214"/>
      <c r="E1092" s="214"/>
      <c r="F1092" s="214"/>
      <c r="G1092" s="214"/>
      <c r="H1092" s="214"/>
      <c r="I1092" s="214"/>
      <c r="J1092" s="214"/>
      <c r="K1092" s="214"/>
      <c r="L1092" s="214"/>
      <c r="M1092" s="214"/>
      <c r="N1092" s="214"/>
      <c r="O1092" s="214"/>
      <c r="P1092" s="214"/>
      <c r="Q1092" s="214"/>
      <c r="R1092" s="214"/>
      <c r="S1092" s="214"/>
      <c r="T1092" s="214"/>
      <c r="U1092" s="214"/>
      <c r="V1092" s="214"/>
      <c r="W1092" s="214"/>
      <c r="X1092" s="214"/>
      <c r="Y1092" s="214"/>
      <c r="Z1092" s="214"/>
    </row>
    <row r="1093" ht="15.75" customHeight="1">
      <c r="A1093" s="214"/>
      <c r="B1093" s="214"/>
      <c r="C1093" s="214"/>
      <c r="D1093" s="214"/>
      <c r="E1093" s="214"/>
      <c r="F1093" s="214"/>
      <c r="G1093" s="214"/>
      <c r="H1093" s="214"/>
      <c r="I1093" s="214"/>
      <c r="J1093" s="214"/>
      <c r="K1093" s="214"/>
      <c r="L1093" s="214"/>
      <c r="M1093" s="214"/>
      <c r="N1093" s="214"/>
      <c r="O1093" s="214"/>
      <c r="P1093" s="214"/>
      <c r="Q1093" s="214"/>
      <c r="R1093" s="214"/>
      <c r="S1093" s="214"/>
      <c r="T1093" s="214"/>
      <c r="U1093" s="214"/>
      <c r="V1093" s="214"/>
      <c r="W1093" s="214"/>
      <c r="X1093" s="214"/>
      <c r="Y1093" s="214"/>
      <c r="Z1093" s="214"/>
    </row>
    <row r="1094" ht="15.75" customHeight="1">
      <c r="A1094" s="214"/>
      <c r="B1094" s="214"/>
      <c r="C1094" s="214"/>
      <c r="D1094" s="214"/>
      <c r="E1094" s="214"/>
      <c r="F1094" s="214"/>
      <c r="G1094" s="214"/>
      <c r="H1094" s="214"/>
      <c r="I1094" s="214"/>
      <c r="J1094" s="214"/>
      <c r="K1094" s="214"/>
      <c r="L1094" s="214"/>
      <c r="M1094" s="214"/>
      <c r="N1094" s="214"/>
      <c r="O1094" s="214"/>
      <c r="P1094" s="214"/>
      <c r="Q1094" s="214"/>
      <c r="R1094" s="214"/>
      <c r="S1094" s="214"/>
      <c r="T1094" s="214"/>
      <c r="U1094" s="214"/>
      <c r="V1094" s="214"/>
      <c r="W1094" s="214"/>
      <c r="X1094" s="214"/>
      <c r="Y1094" s="214"/>
      <c r="Z1094" s="214"/>
    </row>
    <row r="1095" ht="15.75" customHeight="1">
      <c r="A1095" s="214"/>
      <c r="B1095" s="214"/>
      <c r="C1095" s="214"/>
      <c r="D1095" s="214"/>
      <c r="E1095" s="214"/>
      <c r="F1095" s="214"/>
      <c r="G1095" s="214"/>
      <c r="H1095" s="214"/>
      <c r="I1095" s="214"/>
      <c r="J1095" s="214"/>
      <c r="K1095" s="214"/>
      <c r="L1095" s="214"/>
      <c r="M1095" s="214"/>
      <c r="N1095" s="214"/>
      <c r="O1095" s="214"/>
      <c r="P1095" s="214"/>
      <c r="Q1095" s="214"/>
      <c r="R1095" s="214"/>
      <c r="S1095" s="214"/>
      <c r="T1095" s="214"/>
      <c r="U1095" s="214"/>
      <c r="V1095" s="214"/>
      <c r="W1095" s="214"/>
      <c r="X1095" s="214"/>
      <c r="Y1095" s="214"/>
      <c r="Z1095" s="214"/>
    </row>
    <row r="1096" ht="15.75" customHeight="1">
      <c r="A1096" s="214"/>
      <c r="B1096" s="214"/>
      <c r="C1096" s="214"/>
      <c r="D1096" s="214"/>
      <c r="E1096" s="214"/>
      <c r="F1096" s="214"/>
      <c r="G1096" s="214"/>
      <c r="H1096" s="214"/>
      <c r="I1096" s="214"/>
      <c r="J1096" s="214"/>
      <c r="K1096" s="214"/>
      <c r="L1096" s="214"/>
      <c r="M1096" s="214"/>
      <c r="N1096" s="214"/>
      <c r="O1096" s="214"/>
      <c r="P1096" s="214"/>
      <c r="Q1096" s="214"/>
      <c r="R1096" s="214"/>
      <c r="S1096" s="214"/>
      <c r="T1096" s="214"/>
      <c r="U1096" s="214"/>
      <c r="V1096" s="214"/>
      <c r="W1096" s="214"/>
      <c r="X1096" s="214"/>
      <c r="Y1096" s="214"/>
      <c r="Z1096" s="214"/>
    </row>
    <row r="1097" ht="15.75" customHeight="1">
      <c r="A1097" s="214"/>
      <c r="B1097" s="214"/>
      <c r="C1097" s="214"/>
      <c r="D1097" s="214"/>
      <c r="E1097" s="214"/>
      <c r="F1097" s="214"/>
      <c r="G1097" s="214"/>
      <c r="H1097" s="214"/>
      <c r="I1097" s="214"/>
      <c r="J1097" s="214"/>
      <c r="K1097" s="214"/>
      <c r="L1097" s="214"/>
      <c r="M1097" s="214"/>
      <c r="N1097" s="214"/>
      <c r="O1097" s="214"/>
      <c r="P1097" s="214"/>
      <c r="Q1097" s="214"/>
      <c r="R1097" s="214"/>
      <c r="S1097" s="214"/>
      <c r="T1097" s="214"/>
      <c r="U1097" s="214"/>
      <c r="V1097" s="214"/>
      <c r="W1097" s="214"/>
      <c r="X1097" s="214"/>
      <c r="Y1097" s="214"/>
      <c r="Z1097" s="214"/>
    </row>
    <row r="1098" ht="15.75" customHeight="1">
      <c r="A1098" s="214"/>
      <c r="B1098" s="214"/>
      <c r="C1098" s="214"/>
      <c r="D1098" s="214"/>
      <c r="E1098" s="214"/>
      <c r="F1098" s="214"/>
      <c r="G1098" s="214"/>
      <c r="H1098" s="214"/>
      <c r="I1098" s="214"/>
      <c r="J1098" s="214"/>
      <c r="K1098" s="214"/>
      <c r="L1098" s="214"/>
      <c r="M1098" s="214"/>
      <c r="N1098" s="214"/>
      <c r="O1098" s="214"/>
      <c r="P1098" s="214"/>
      <c r="Q1098" s="214"/>
      <c r="R1098" s="214"/>
      <c r="S1098" s="214"/>
      <c r="T1098" s="214"/>
      <c r="U1098" s="214"/>
      <c r="V1098" s="214"/>
      <c r="W1098" s="214"/>
      <c r="X1098" s="214"/>
      <c r="Y1098" s="214"/>
      <c r="Z1098" s="214"/>
    </row>
    <row r="1099" ht="15.75" customHeight="1">
      <c r="A1099" s="214"/>
      <c r="B1099" s="214"/>
      <c r="C1099" s="214"/>
      <c r="D1099" s="214"/>
      <c r="E1099" s="214"/>
      <c r="F1099" s="214"/>
      <c r="G1099" s="214"/>
      <c r="H1099" s="214"/>
      <c r="I1099" s="214"/>
      <c r="J1099" s="214"/>
      <c r="K1099" s="214"/>
      <c r="L1099" s="214"/>
      <c r="M1099" s="214"/>
      <c r="N1099" s="214"/>
      <c r="O1099" s="214"/>
      <c r="P1099" s="214"/>
      <c r="Q1099" s="214"/>
      <c r="R1099" s="214"/>
      <c r="S1099" s="214"/>
      <c r="T1099" s="214"/>
      <c r="U1099" s="214"/>
      <c r="V1099" s="214"/>
      <c r="W1099" s="214"/>
      <c r="X1099" s="214"/>
      <c r="Y1099" s="214"/>
      <c r="Z1099" s="214"/>
    </row>
    <row r="1100" ht="15.75" customHeight="1">
      <c r="A1100" s="214"/>
      <c r="B1100" s="214"/>
      <c r="C1100" s="214"/>
      <c r="D1100" s="214"/>
      <c r="E1100" s="214"/>
      <c r="F1100" s="214"/>
      <c r="G1100" s="214"/>
      <c r="H1100" s="214"/>
      <c r="I1100" s="214"/>
      <c r="J1100" s="214"/>
      <c r="K1100" s="214"/>
      <c r="L1100" s="214"/>
      <c r="M1100" s="214"/>
      <c r="N1100" s="214"/>
      <c r="O1100" s="214"/>
      <c r="P1100" s="214"/>
      <c r="Q1100" s="214"/>
      <c r="R1100" s="214"/>
      <c r="S1100" s="214"/>
      <c r="T1100" s="214"/>
      <c r="U1100" s="214"/>
      <c r="V1100" s="214"/>
      <c r="W1100" s="214"/>
      <c r="X1100" s="214"/>
      <c r="Y1100" s="214"/>
      <c r="Z1100" s="214"/>
    </row>
    <row r="1101" ht="15.75" customHeight="1">
      <c r="A1101" s="214"/>
      <c r="B1101" s="214"/>
      <c r="C1101" s="214"/>
      <c r="D1101" s="214"/>
      <c r="E1101" s="214"/>
      <c r="F1101" s="214"/>
      <c r="G1101" s="214"/>
      <c r="H1101" s="214"/>
      <c r="I1101" s="214"/>
      <c r="J1101" s="214"/>
      <c r="K1101" s="214"/>
      <c r="L1101" s="214"/>
      <c r="M1101" s="214"/>
      <c r="N1101" s="214"/>
      <c r="O1101" s="214"/>
      <c r="P1101" s="214"/>
      <c r="Q1101" s="214"/>
      <c r="R1101" s="214"/>
      <c r="S1101" s="214"/>
      <c r="T1101" s="214"/>
      <c r="U1101" s="214"/>
      <c r="V1101" s="214"/>
      <c r="W1101" s="214"/>
      <c r="X1101" s="214"/>
      <c r="Y1101" s="214"/>
      <c r="Z1101" s="214"/>
    </row>
    <row r="1102" ht="15.75" customHeight="1">
      <c r="A1102" s="214"/>
      <c r="B1102" s="214"/>
      <c r="C1102" s="214"/>
      <c r="D1102" s="214"/>
      <c r="E1102" s="214"/>
      <c r="F1102" s="214"/>
      <c r="G1102" s="214"/>
      <c r="H1102" s="214"/>
      <c r="I1102" s="214"/>
      <c r="J1102" s="214"/>
      <c r="K1102" s="214"/>
      <c r="L1102" s="214"/>
      <c r="M1102" s="214"/>
      <c r="N1102" s="214"/>
      <c r="O1102" s="214"/>
      <c r="P1102" s="214"/>
      <c r="Q1102" s="214"/>
      <c r="R1102" s="214"/>
      <c r="S1102" s="214"/>
      <c r="T1102" s="214"/>
      <c r="U1102" s="214"/>
      <c r="V1102" s="214"/>
      <c r="W1102" s="214"/>
      <c r="X1102" s="214"/>
      <c r="Y1102" s="214"/>
      <c r="Z1102" s="214"/>
    </row>
    <row r="1103" ht="15.75" customHeight="1">
      <c r="A1103" s="214"/>
      <c r="B1103" s="214"/>
      <c r="C1103" s="214"/>
      <c r="D1103" s="214"/>
      <c r="E1103" s="214"/>
      <c r="F1103" s="214"/>
      <c r="G1103" s="214"/>
      <c r="H1103" s="214"/>
      <c r="I1103" s="214"/>
      <c r="J1103" s="214"/>
      <c r="K1103" s="214"/>
      <c r="L1103" s="214"/>
      <c r="M1103" s="214"/>
      <c r="N1103" s="214"/>
      <c r="O1103" s="214"/>
      <c r="P1103" s="214"/>
      <c r="Q1103" s="214"/>
      <c r="R1103" s="214"/>
      <c r="S1103" s="214"/>
      <c r="T1103" s="214"/>
      <c r="U1103" s="214"/>
      <c r="V1103" s="214"/>
      <c r="W1103" s="214"/>
      <c r="X1103" s="214"/>
      <c r="Y1103" s="214"/>
      <c r="Z1103" s="214"/>
    </row>
    <row r="1104" ht="15.75" customHeight="1">
      <c r="A1104" s="214"/>
      <c r="B1104" s="214"/>
      <c r="C1104" s="214"/>
      <c r="D1104" s="214"/>
      <c r="E1104" s="214"/>
      <c r="F1104" s="214"/>
      <c r="G1104" s="214"/>
      <c r="H1104" s="214"/>
      <c r="I1104" s="214"/>
      <c r="J1104" s="214"/>
      <c r="K1104" s="214"/>
      <c r="L1104" s="214"/>
      <c r="M1104" s="214"/>
      <c r="N1104" s="214"/>
      <c r="O1104" s="214"/>
      <c r="P1104" s="214"/>
      <c r="Q1104" s="214"/>
      <c r="R1104" s="214"/>
      <c r="S1104" s="214"/>
      <c r="T1104" s="214"/>
      <c r="U1104" s="214"/>
      <c r="V1104" s="214"/>
      <c r="W1104" s="214"/>
      <c r="X1104" s="214"/>
      <c r="Y1104" s="214"/>
      <c r="Z1104" s="214"/>
    </row>
    <row r="1105" ht="15.75" customHeight="1">
      <c r="A1105" s="214"/>
      <c r="B1105" s="214"/>
      <c r="C1105" s="214"/>
      <c r="D1105" s="214"/>
      <c r="E1105" s="214"/>
      <c r="F1105" s="214"/>
      <c r="G1105" s="214"/>
      <c r="H1105" s="214"/>
      <c r="I1105" s="214"/>
      <c r="J1105" s="214"/>
      <c r="K1105" s="214"/>
      <c r="L1105" s="214"/>
      <c r="M1105" s="214"/>
      <c r="N1105" s="214"/>
      <c r="O1105" s="214"/>
      <c r="P1105" s="214"/>
      <c r="Q1105" s="214"/>
      <c r="R1105" s="214"/>
      <c r="S1105" s="214"/>
      <c r="T1105" s="214"/>
      <c r="U1105" s="214"/>
      <c r="V1105" s="214"/>
      <c r="W1105" s="214"/>
      <c r="X1105" s="214"/>
      <c r="Y1105" s="214"/>
      <c r="Z1105" s="214"/>
    </row>
    <row r="1106" ht="15.75" customHeight="1">
      <c r="A1106" s="214"/>
      <c r="B1106" s="214"/>
      <c r="C1106" s="214"/>
      <c r="D1106" s="214"/>
      <c r="E1106" s="214"/>
      <c r="F1106" s="214"/>
      <c r="G1106" s="214"/>
      <c r="H1106" s="214"/>
      <c r="I1106" s="214"/>
      <c r="J1106" s="214"/>
      <c r="K1106" s="214"/>
      <c r="L1106" s="214"/>
      <c r="M1106" s="214"/>
      <c r="N1106" s="214"/>
      <c r="O1106" s="214"/>
      <c r="P1106" s="214"/>
      <c r="Q1106" s="214"/>
      <c r="R1106" s="214"/>
      <c r="S1106" s="214"/>
      <c r="T1106" s="214"/>
      <c r="U1106" s="214"/>
      <c r="V1106" s="214"/>
      <c r="W1106" s="214"/>
      <c r="X1106" s="214"/>
      <c r="Y1106" s="214"/>
      <c r="Z1106" s="214"/>
    </row>
    <row r="1107" ht="15.75" customHeight="1">
      <c r="A1107" s="214"/>
      <c r="B1107" s="214"/>
      <c r="C1107" s="214"/>
      <c r="D1107" s="214"/>
      <c r="E1107" s="214"/>
      <c r="F1107" s="214"/>
      <c r="G1107" s="214"/>
      <c r="H1107" s="214"/>
      <c r="I1107" s="214"/>
      <c r="J1107" s="214"/>
      <c r="K1107" s="214"/>
      <c r="L1107" s="214"/>
      <c r="M1107" s="214"/>
      <c r="N1107" s="214"/>
      <c r="O1107" s="214"/>
      <c r="P1107" s="214"/>
      <c r="Q1107" s="214"/>
      <c r="R1107" s="214"/>
      <c r="S1107" s="214"/>
      <c r="T1107" s="214"/>
      <c r="U1107" s="214"/>
      <c r="V1107" s="214"/>
      <c r="W1107" s="214"/>
      <c r="X1107" s="214"/>
      <c r="Y1107" s="214"/>
      <c r="Z1107" s="214"/>
    </row>
    <row r="1108" ht="15.75" customHeight="1">
      <c r="A1108" s="214"/>
      <c r="B1108" s="214"/>
      <c r="C1108" s="214"/>
      <c r="D1108" s="214"/>
      <c r="E1108" s="214"/>
      <c r="F1108" s="214"/>
      <c r="G1108" s="214"/>
      <c r="H1108" s="214"/>
      <c r="I1108" s="214"/>
      <c r="J1108" s="214"/>
      <c r="K1108" s="214"/>
      <c r="L1108" s="214"/>
      <c r="M1108" s="214"/>
      <c r="N1108" s="214"/>
      <c r="O1108" s="214"/>
      <c r="P1108" s="214"/>
      <c r="Q1108" s="214"/>
      <c r="R1108" s="214"/>
      <c r="S1108" s="214"/>
      <c r="T1108" s="214"/>
      <c r="U1108" s="214"/>
      <c r="V1108" s="214"/>
      <c r="W1108" s="214"/>
      <c r="X1108" s="214"/>
      <c r="Y1108" s="214"/>
      <c r="Z1108" s="214"/>
    </row>
    <row r="1109" ht="15.75" customHeight="1">
      <c r="A1109" s="214"/>
      <c r="B1109" s="214"/>
      <c r="C1109" s="214"/>
      <c r="D1109" s="214"/>
      <c r="E1109" s="214"/>
      <c r="F1109" s="214"/>
      <c r="G1109" s="214"/>
      <c r="H1109" s="214"/>
      <c r="I1109" s="214"/>
      <c r="J1109" s="214"/>
      <c r="K1109" s="214"/>
      <c r="L1109" s="214"/>
      <c r="M1109" s="214"/>
      <c r="N1109" s="214"/>
      <c r="O1109" s="214"/>
      <c r="P1109" s="214"/>
      <c r="Q1109" s="214"/>
      <c r="R1109" s="214"/>
      <c r="S1109" s="214"/>
      <c r="T1109" s="214"/>
      <c r="U1109" s="214"/>
      <c r="V1109" s="214"/>
      <c r="W1109" s="214"/>
      <c r="X1109" s="214"/>
      <c r="Y1109" s="214"/>
      <c r="Z1109" s="214"/>
    </row>
    <row r="1110" ht="15.75" customHeight="1">
      <c r="A1110" s="214"/>
      <c r="B1110" s="214"/>
      <c r="C1110" s="214"/>
      <c r="D1110" s="214"/>
      <c r="E1110" s="214"/>
      <c r="F1110" s="214"/>
      <c r="G1110" s="214"/>
      <c r="H1110" s="214"/>
      <c r="I1110" s="214"/>
      <c r="J1110" s="214"/>
      <c r="K1110" s="214"/>
      <c r="L1110" s="214"/>
      <c r="M1110" s="214"/>
      <c r="N1110" s="214"/>
      <c r="O1110" s="214"/>
      <c r="P1110" s="214"/>
      <c r="Q1110" s="214"/>
      <c r="R1110" s="214"/>
      <c r="S1110" s="214"/>
      <c r="T1110" s="214"/>
      <c r="U1110" s="214"/>
      <c r="V1110" s="214"/>
      <c r="W1110" s="214"/>
      <c r="X1110" s="214"/>
      <c r="Y1110" s="214"/>
      <c r="Z1110" s="214"/>
    </row>
    <row r="1111" ht="15.75" customHeight="1">
      <c r="A1111" s="214"/>
      <c r="B1111" s="214"/>
      <c r="C1111" s="214"/>
      <c r="D1111" s="214"/>
      <c r="E1111" s="214"/>
      <c r="F1111" s="214"/>
      <c r="G1111" s="214"/>
      <c r="H1111" s="214"/>
      <c r="I1111" s="214"/>
      <c r="J1111" s="214"/>
      <c r="K1111" s="214"/>
      <c r="L1111" s="214"/>
      <c r="M1111" s="214"/>
      <c r="N1111" s="214"/>
      <c r="O1111" s="214"/>
      <c r="P1111" s="214"/>
      <c r="Q1111" s="214"/>
      <c r="R1111" s="214"/>
      <c r="S1111" s="214"/>
      <c r="T1111" s="214"/>
      <c r="U1111" s="214"/>
      <c r="V1111" s="214"/>
      <c r="W1111" s="214"/>
      <c r="X1111" s="214"/>
      <c r="Y1111" s="214"/>
      <c r="Z1111" s="214"/>
    </row>
    <row r="1112" ht="15.75" customHeight="1">
      <c r="A1112" s="214"/>
      <c r="B1112" s="214"/>
      <c r="C1112" s="214"/>
      <c r="D1112" s="214"/>
      <c r="E1112" s="214"/>
      <c r="F1112" s="214"/>
      <c r="G1112" s="214"/>
      <c r="H1112" s="214"/>
      <c r="I1112" s="214"/>
      <c r="J1112" s="214"/>
      <c r="K1112" s="214"/>
      <c r="L1112" s="214"/>
      <c r="M1112" s="214"/>
      <c r="N1112" s="214"/>
      <c r="O1112" s="214"/>
      <c r="P1112" s="214"/>
      <c r="Q1112" s="214"/>
      <c r="R1112" s="214"/>
      <c r="S1112" s="214"/>
      <c r="T1112" s="214"/>
      <c r="U1112" s="214"/>
      <c r="V1112" s="214"/>
      <c r="W1112" s="214"/>
      <c r="X1112" s="214"/>
      <c r="Y1112" s="214"/>
      <c r="Z1112" s="214"/>
    </row>
    <row r="1113" ht="15.75" customHeight="1">
      <c r="A1113" s="214"/>
      <c r="B1113" s="214"/>
      <c r="C1113" s="214"/>
      <c r="D1113" s="214"/>
      <c r="E1113" s="214"/>
      <c r="F1113" s="214"/>
      <c r="G1113" s="214"/>
      <c r="H1113" s="214"/>
      <c r="I1113" s="214"/>
      <c r="J1113" s="214"/>
      <c r="K1113" s="214"/>
      <c r="L1113" s="214"/>
      <c r="M1113" s="214"/>
      <c r="N1113" s="214"/>
      <c r="O1113" s="214"/>
      <c r="P1113" s="214"/>
      <c r="Q1113" s="214"/>
      <c r="R1113" s="214"/>
      <c r="S1113" s="214"/>
      <c r="T1113" s="214"/>
      <c r="U1113" s="214"/>
      <c r="V1113" s="214"/>
      <c r="W1113" s="214"/>
      <c r="X1113" s="214"/>
      <c r="Y1113" s="214"/>
      <c r="Z1113" s="214"/>
    </row>
    <row r="1114" ht="15.75" customHeight="1">
      <c r="A1114" s="214"/>
      <c r="B1114" s="214"/>
      <c r="C1114" s="214"/>
      <c r="D1114" s="214"/>
      <c r="E1114" s="214"/>
      <c r="F1114" s="214"/>
      <c r="G1114" s="214"/>
      <c r="H1114" s="214"/>
      <c r="I1114" s="214"/>
      <c r="J1114" s="214"/>
      <c r="K1114" s="214"/>
      <c r="L1114" s="214"/>
      <c r="M1114" s="214"/>
      <c r="N1114" s="214"/>
      <c r="O1114" s="214"/>
      <c r="P1114" s="214"/>
      <c r="Q1114" s="214"/>
      <c r="R1114" s="214"/>
      <c r="S1114" s="214"/>
      <c r="T1114" s="214"/>
      <c r="U1114" s="214"/>
      <c r="V1114" s="214"/>
      <c r="W1114" s="214"/>
      <c r="X1114" s="214"/>
      <c r="Y1114" s="214"/>
      <c r="Z1114" s="214"/>
    </row>
    <row r="1115" ht="15.75" customHeight="1">
      <c r="A1115" s="214"/>
      <c r="B1115" s="214"/>
      <c r="C1115" s="214"/>
      <c r="D1115" s="214"/>
      <c r="E1115" s="214"/>
      <c r="F1115" s="214"/>
      <c r="G1115" s="214"/>
      <c r="H1115" s="214"/>
      <c r="I1115" s="214"/>
      <c r="J1115" s="214"/>
      <c r="K1115" s="214"/>
      <c r="L1115" s="214"/>
      <c r="M1115" s="214"/>
      <c r="N1115" s="214"/>
      <c r="O1115" s="214"/>
      <c r="P1115" s="214"/>
      <c r="Q1115" s="214"/>
      <c r="R1115" s="214"/>
      <c r="S1115" s="214"/>
      <c r="T1115" s="214"/>
      <c r="U1115" s="214"/>
      <c r="V1115" s="214"/>
      <c r="W1115" s="214"/>
      <c r="X1115" s="214"/>
      <c r="Y1115" s="214"/>
      <c r="Z1115" s="214"/>
    </row>
    <row r="1116" ht="15.75" customHeight="1">
      <c r="A1116" s="214"/>
      <c r="B1116" s="214"/>
      <c r="C1116" s="214"/>
      <c r="D1116" s="214"/>
      <c r="E1116" s="214"/>
      <c r="F1116" s="214"/>
      <c r="G1116" s="214"/>
      <c r="H1116" s="214"/>
      <c r="I1116" s="214"/>
      <c r="J1116" s="214"/>
      <c r="K1116" s="214"/>
      <c r="L1116" s="214"/>
      <c r="M1116" s="214"/>
      <c r="N1116" s="214"/>
      <c r="O1116" s="214"/>
      <c r="P1116" s="214"/>
      <c r="Q1116" s="214"/>
      <c r="R1116" s="214"/>
      <c r="S1116" s="214"/>
      <c r="T1116" s="214"/>
      <c r="U1116" s="214"/>
      <c r="V1116" s="214"/>
      <c r="W1116" s="214"/>
      <c r="X1116" s="214"/>
      <c r="Y1116" s="214"/>
      <c r="Z1116" s="214"/>
    </row>
    <row r="1117" ht="15.75" customHeight="1">
      <c r="A1117" s="214"/>
      <c r="B1117" s="214"/>
      <c r="C1117" s="214"/>
      <c r="D1117" s="214"/>
      <c r="E1117" s="214"/>
      <c r="F1117" s="214"/>
      <c r="G1117" s="214"/>
      <c r="H1117" s="214"/>
      <c r="I1117" s="214"/>
      <c r="J1117" s="214"/>
      <c r="K1117" s="214"/>
      <c r="L1117" s="214"/>
      <c r="M1117" s="214"/>
      <c r="N1117" s="214"/>
      <c r="O1117" s="214"/>
      <c r="P1117" s="214"/>
      <c r="Q1117" s="214"/>
      <c r="R1117" s="214"/>
      <c r="S1117" s="214"/>
      <c r="T1117" s="214"/>
      <c r="U1117" s="214"/>
      <c r="V1117" s="214"/>
      <c r="W1117" s="214"/>
      <c r="X1117" s="214"/>
      <c r="Y1117" s="214"/>
      <c r="Z1117" s="214"/>
    </row>
    <row r="1118" ht="15.75" customHeight="1">
      <c r="A1118" s="214"/>
      <c r="B1118" s="214"/>
      <c r="C1118" s="214"/>
      <c r="D1118" s="214"/>
      <c r="E1118" s="214"/>
      <c r="F1118" s="214"/>
      <c r="G1118" s="214"/>
      <c r="H1118" s="214"/>
      <c r="I1118" s="214"/>
      <c r="J1118" s="214"/>
      <c r="K1118" s="214"/>
      <c r="L1118" s="214"/>
      <c r="M1118" s="214"/>
      <c r="N1118" s="214"/>
      <c r="O1118" s="214"/>
      <c r="P1118" s="214"/>
      <c r="Q1118" s="214"/>
      <c r="R1118" s="214"/>
      <c r="S1118" s="214"/>
      <c r="T1118" s="214"/>
      <c r="U1118" s="214"/>
      <c r="V1118" s="214"/>
      <c r="W1118" s="214"/>
      <c r="X1118" s="214"/>
      <c r="Y1118" s="214"/>
      <c r="Z1118" s="214"/>
    </row>
    <row r="1119" ht="15.75" customHeight="1">
      <c r="A1119" s="214"/>
      <c r="B1119" s="214"/>
      <c r="C1119" s="214"/>
      <c r="D1119" s="214"/>
      <c r="E1119" s="214"/>
      <c r="F1119" s="214"/>
      <c r="G1119" s="214"/>
      <c r="H1119" s="214"/>
      <c r="I1119" s="214"/>
      <c r="J1119" s="214"/>
      <c r="K1119" s="214"/>
      <c r="L1119" s="214"/>
      <c r="M1119" s="214"/>
      <c r="N1119" s="214"/>
      <c r="O1119" s="214"/>
      <c r="P1119" s="214"/>
      <c r="Q1119" s="214"/>
      <c r="R1119" s="214"/>
      <c r="S1119" s="214"/>
      <c r="T1119" s="214"/>
      <c r="U1119" s="214"/>
      <c r="V1119" s="214"/>
      <c r="W1119" s="214"/>
      <c r="X1119" s="214"/>
      <c r="Y1119" s="214"/>
      <c r="Z1119" s="214"/>
    </row>
    <row r="1120" ht="15.75" customHeight="1">
      <c r="A1120" s="214"/>
      <c r="B1120" s="214"/>
      <c r="C1120" s="214"/>
      <c r="D1120" s="214"/>
      <c r="E1120" s="214"/>
      <c r="F1120" s="214"/>
      <c r="G1120" s="214"/>
      <c r="H1120" s="214"/>
      <c r="I1120" s="214"/>
      <c r="J1120" s="214"/>
      <c r="K1120" s="214"/>
      <c r="L1120" s="214"/>
      <c r="M1120" s="214"/>
      <c r="N1120" s="214"/>
      <c r="O1120" s="214"/>
      <c r="P1120" s="214"/>
      <c r="Q1120" s="214"/>
      <c r="R1120" s="214"/>
      <c r="S1120" s="214"/>
      <c r="T1120" s="214"/>
      <c r="U1120" s="214"/>
      <c r="V1120" s="214"/>
      <c r="W1120" s="214"/>
      <c r="X1120" s="214"/>
      <c r="Y1120" s="214"/>
      <c r="Z1120" s="214"/>
    </row>
    <row r="1121" ht="15.75" customHeight="1">
      <c r="A1121" s="214"/>
      <c r="B1121" s="214"/>
      <c r="C1121" s="214"/>
      <c r="D1121" s="214"/>
      <c r="E1121" s="214"/>
      <c r="F1121" s="214"/>
      <c r="G1121" s="214"/>
      <c r="H1121" s="214"/>
      <c r="I1121" s="214"/>
      <c r="J1121" s="214"/>
      <c r="K1121" s="214"/>
      <c r="L1121" s="214"/>
      <c r="M1121" s="214"/>
      <c r="N1121" s="214"/>
      <c r="O1121" s="214"/>
      <c r="P1121" s="214"/>
      <c r="Q1121" s="214"/>
      <c r="R1121" s="214"/>
      <c r="S1121" s="214"/>
      <c r="T1121" s="214"/>
      <c r="U1121" s="214"/>
      <c r="V1121" s="214"/>
      <c r="W1121" s="214"/>
      <c r="X1121" s="214"/>
      <c r="Y1121" s="214"/>
      <c r="Z1121" s="214"/>
    </row>
    <row r="1122" ht="15.75" customHeight="1">
      <c r="A1122" s="214"/>
      <c r="B1122" s="214"/>
      <c r="C1122" s="214"/>
      <c r="D1122" s="214"/>
      <c r="E1122" s="214"/>
      <c r="F1122" s="214"/>
      <c r="G1122" s="214"/>
      <c r="H1122" s="214"/>
      <c r="I1122" s="214"/>
      <c r="J1122" s="214"/>
      <c r="K1122" s="214"/>
      <c r="L1122" s="214"/>
      <c r="M1122" s="214"/>
      <c r="N1122" s="214"/>
      <c r="O1122" s="214"/>
      <c r="P1122" s="214"/>
      <c r="Q1122" s="214"/>
      <c r="R1122" s="214"/>
      <c r="S1122" s="214"/>
      <c r="T1122" s="214"/>
      <c r="U1122" s="214"/>
      <c r="V1122" s="214"/>
      <c r="W1122" s="214"/>
      <c r="X1122" s="214"/>
      <c r="Y1122" s="214"/>
      <c r="Z1122" s="214"/>
    </row>
    <row r="1123" ht="15.75" customHeight="1">
      <c r="A1123" s="214"/>
      <c r="B1123" s="214"/>
      <c r="C1123" s="214"/>
      <c r="D1123" s="214"/>
      <c r="E1123" s="214"/>
      <c r="F1123" s="214"/>
      <c r="G1123" s="214"/>
      <c r="H1123" s="214"/>
      <c r="I1123" s="214"/>
      <c r="J1123" s="214"/>
      <c r="K1123" s="214"/>
      <c r="L1123" s="214"/>
      <c r="M1123" s="214"/>
      <c r="N1123" s="214"/>
      <c r="O1123" s="214"/>
      <c r="P1123" s="214"/>
      <c r="Q1123" s="214"/>
      <c r="R1123" s="214"/>
      <c r="S1123" s="214"/>
      <c r="T1123" s="214"/>
      <c r="U1123" s="214"/>
      <c r="V1123" s="214"/>
      <c r="W1123" s="214"/>
      <c r="X1123" s="214"/>
      <c r="Y1123" s="214"/>
      <c r="Z1123" s="214"/>
    </row>
    <row r="1124" ht="15.75" customHeight="1">
      <c r="A1124" s="214"/>
      <c r="B1124" s="214"/>
      <c r="C1124" s="214"/>
      <c r="D1124" s="214"/>
      <c r="E1124" s="214"/>
      <c r="F1124" s="214"/>
      <c r="G1124" s="214"/>
      <c r="H1124" s="214"/>
      <c r="I1124" s="214"/>
      <c r="J1124" s="214"/>
      <c r="K1124" s="214"/>
      <c r="L1124" s="214"/>
      <c r="M1124" s="214"/>
      <c r="N1124" s="214"/>
      <c r="O1124" s="214"/>
      <c r="P1124" s="214"/>
      <c r="Q1124" s="214"/>
      <c r="R1124" s="214"/>
      <c r="S1124" s="214"/>
      <c r="T1124" s="214"/>
      <c r="U1124" s="214"/>
      <c r="V1124" s="214"/>
      <c r="W1124" s="214"/>
      <c r="X1124" s="214"/>
      <c r="Y1124" s="214"/>
      <c r="Z1124" s="214"/>
    </row>
    <row r="1125" ht="15.75" customHeight="1">
      <c r="A1125" s="214"/>
      <c r="B1125" s="214"/>
      <c r="C1125" s="214"/>
      <c r="D1125" s="214"/>
      <c r="E1125" s="214"/>
      <c r="F1125" s="214"/>
      <c r="G1125" s="214"/>
      <c r="H1125" s="214"/>
      <c r="I1125" s="214"/>
      <c r="J1125" s="214"/>
      <c r="K1125" s="214"/>
      <c r="L1125" s="214"/>
      <c r="M1125" s="214"/>
      <c r="N1125" s="214"/>
      <c r="O1125" s="214"/>
      <c r="P1125" s="214"/>
      <c r="Q1125" s="214"/>
      <c r="R1125" s="214"/>
      <c r="S1125" s="214"/>
      <c r="T1125" s="214"/>
      <c r="U1125" s="214"/>
      <c r="V1125" s="214"/>
      <c r="W1125" s="214"/>
      <c r="X1125" s="214"/>
      <c r="Y1125" s="214"/>
      <c r="Z1125" s="214"/>
    </row>
    <row r="1126" ht="15.75" customHeight="1">
      <c r="A1126" s="214"/>
      <c r="B1126" s="214"/>
      <c r="C1126" s="214"/>
      <c r="D1126" s="214"/>
      <c r="E1126" s="214"/>
      <c r="F1126" s="214"/>
      <c r="G1126" s="214"/>
      <c r="H1126" s="214"/>
      <c r="I1126" s="214"/>
      <c r="J1126" s="214"/>
      <c r="K1126" s="214"/>
      <c r="L1126" s="214"/>
      <c r="M1126" s="214"/>
      <c r="N1126" s="214"/>
      <c r="O1126" s="214"/>
      <c r="P1126" s="214"/>
      <c r="Q1126" s="214"/>
      <c r="R1126" s="214"/>
      <c r="S1126" s="214"/>
      <c r="T1126" s="214"/>
      <c r="U1126" s="214"/>
      <c r="V1126" s="214"/>
      <c r="W1126" s="214"/>
      <c r="X1126" s="214"/>
      <c r="Y1126" s="214"/>
      <c r="Z1126" s="214"/>
    </row>
    <row r="1127" ht="15.75" customHeight="1">
      <c r="A1127" s="214"/>
      <c r="B1127" s="214"/>
      <c r="C1127" s="214"/>
      <c r="D1127" s="214"/>
      <c r="E1127" s="214"/>
      <c r="F1127" s="214"/>
      <c r="G1127" s="214"/>
      <c r="H1127" s="214"/>
      <c r="I1127" s="214"/>
      <c r="J1127" s="214"/>
      <c r="K1127" s="214"/>
      <c r="L1127" s="214"/>
      <c r="M1127" s="214"/>
      <c r="N1127" s="214"/>
      <c r="O1127" s="214"/>
      <c r="P1127" s="214"/>
      <c r="Q1127" s="214"/>
      <c r="R1127" s="214"/>
      <c r="S1127" s="214"/>
      <c r="T1127" s="214"/>
      <c r="U1127" s="214"/>
      <c r="V1127" s="214"/>
      <c r="W1127" s="214"/>
      <c r="X1127" s="214"/>
      <c r="Y1127" s="214"/>
      <c r="Z1127" s="214"/>
    </row>
    <row r="1128" ht="15.75" customHeight="1">
      <c r="A1128" s="214"/>
      <c r="B1128" s="214"/>
      <c r="C1128" s="214"/>
      <c r="D1128" s="214"/>
      <c r="E1128" s="214"/>
      <c r="F1128" s="214"/>
      <c r="G1128" s="214"/>
      <c r="H1128" s="214"/>
      <c r="I1128" s="214"/>
      <c r="J1128" s="214"/>
      <c r="K1128" s="214"/>
      <c r="L1128" s="214"/>
      <c r="M1128" s="214"/>
      <c r="N1128" s="214"/>
      <c r="O1128" s="214"/>
      <c r="P1128" s="214"/>
      <c r="Q1128" s="214"/>
      <c r="R1128" s="214"/>
      <c r="S1128" s="214"/>
      <c r="T1128" s="214"/>
      <c r="U1128" s="214"/>
      <c r="V1128" s="214"/>
      <c r="W1128" s="214"/>
      <c r="X1128" s="214"/>
      <c r="Y1128" s="214"/>
      <c r="Z1128" s="214"/>
    </row>
    <row r="1129" ht="15.75" customHeight="1">
      <c r="A1129" s="214"/>
      <c r="B1129" s="214"/>
      <c r="C1129" s="214"/>
      <c r="D1129" s="214"/>
      <c r="E1129" s="214"/>
      <c r="F1129" s="214"/>
      <c r="G1129" s="214"/>
      <c r="H1129" s="214"/>
      <c r="I1129" s="214"/>
      <c r="J1129" s="214"/>
      <c r="K1129" s="214"/>
      <c r="L1129" s="214"/>
      <c r="M1129" s="214"/>
      <c r="N1129" s="214"/>
      <c r="O1129" s="214"/>
      <c r="P1129" s="214"/>
      <c r="Q1129" s="214"/>
      <c r="R1129" s="214"/>
      <c r="S1129" s="214"/>
      <c r="T1129" s="214"/>
      <c r="U1129" s="214"/>
      <c r="V1129" s="214"/>
      <c r="W1129" s="214"/>
      <c r="X1129" s="214"/>
      <c r="Y1129" s="214"/>
      <c r="Z1129" s="214"/>
    </row>
    <row r="1130" ht="15.75" customHeight="1">
      <c r="A1130" s="214"/>
      <c r="B1130" s="214"/>
      <c r="C1130" s="214"/>
      <c r="D1130" s="214"/>
      <c r="E1130" s="214"/>
      <c r="F1130" s="214"/>
      <c r="G1130" s="214"/>
      <c r="H1130" s="214"/>
      <c r="I1130" s="214"/>
      <c r="J1130" s="214"/>
      <c r="K1130" s="214"/>
      <c r="L1130" s="214"/>
      <c r="M1130" s="214"/>
      <c r="N1130" s="214"/>
      <c r="O1130" s="214"/>
      <c r="P1130" s="214"/>
      <c r="Q1130" s="214"/>
      <c r="R1130" s="214"/>
      <c r="S1130" s="214"/>
      <c r="T1130" s="214"/>
      <c r="U1130" s="214"/>
      <c r="V1130" s="214"/>
      <c r="W1130" s="214"/>
      <c r="X1130" s="214"/>
      <c r="Y1130" s="214"/>
      <c r="Z1130" s="214"/>
    </row>
    <row r="1131" ht="15.75" customHeight="1">
      <c r="A1131" s="214"/>
      <c r="B1131" s="214"/>
      <c r="C1131" s="214"/>
      <c r="D1131" s="214"/>
      <c r="E1131" s="214"/>
      <c r="F1131" s="214"/>
      <c r="G1131" s="214"/>
      <c r="H1131" s="214"/>
      <c r="I1131" s="214"/>
      <c r="J1131" s="214"/>
      <c r="K1131" s="214"/>
      <c r="L1131" s="214"/>
      <c r="M1131" s="214"/>
      <c r="N1131" s="214"/>
      <c r="O1131" s="214"/>
      <c r="P1131" s="214"/>
      <c r="Q1131" s="214"/>
      <c r="R1131" s="214"/>
      <c r="S1131" s="214"/>
      <c r="T1131" s="214"/>
      <c r="U1131" s="214"/>
      <c r="V1131" s="214"/>
      <c r="W1131" s="214"/>
      <c r="X1131" s="214"/>
      <c r="Y1131" s="214"/>
      <c r="Z1131" s="214"/>
    </row>
    <row r="1132" ht="15.75" customHeight="1">
      <c r="A1132" s="214"/>
      <c r="B1132" s="214"/>
      <c r="C1132" s="214"/>
      <c r="D1132" s="214"/>
      <c r="E1132" s="214"/>
      <c r="F1132" s="214"/>
      <c r="G1132" s="214"/>
      <c r="H1132" s="214"/>
      <c r="I1132" s="214"/>
      <c r="J1132" s="214"/>
      <c r="K1132" s="214"/>
      <c r="L1132" s="214"/>
      <c r="M1132" s="214"/>
      <c r="N1132" s="214"/>
      <c r="O1132" s="214"/>
      <c r="P1132" s="214"/>
      <c r="Q1132" s="214"/>
      <c r="R1132" s="214"/>
      <c r="S1132" s="214"/>
      <c r="T1132" s="214"/>
      <c r="U1132" s="214"/>
      <c r="V1132" s="214"/>
      <c r="W1132" s="214"/>
      <c r="X1132" s="214"/>
      <c r="Y1132" s="214"/>
      <c r="Z1132" s="214"/>
    </row>
    <row r="1133" ht="15.75" customHeight="1">
      <c r="A1133" s="214"/>
      <c r="B1133" s="214"/>
      <c r="C1133" s="214"/>
      <c r="D1133" s="214"/>
      <c r="E1133" s="214"/>
      <c r="F1133" s="214"/>
      <c r="G1133" s="214"/>
      <c r="H1133" s="214"/>
      <c r="I1133" s="214"/>
      <c r="J1133" s="214"/>
      <c r="K1133" s="214"/>
      <c r="L1133" s="214"/>
      <c r="M1133" s="214"/>
      <c r="N1133" s="214"/>
      <c r="O1133" s="214"/>
      <c r="P1133" s="214"/>
      <c r="Q1133" s="214"/>
      <c r="R1133" s="214"/>
      <c r="S1133" s="214"/>
      <c r="T1133" s="214"/>
      <c r="U1133" s="214"/>
      <c r="V1133" s="214"/>
      <c r="W1133" s="214"/>
      <c r="X1133" s="214"/>
      <c r="Y1133" s="214"/>
      <c r="Z1133" s="214"/>
    </row>
    <row r="1134" ht="15.75" customHeight="1">
      <c r="A1134" s="214"/>
      <c r="B1134" s="214"/>
      <c r="C1134" s="214"/>
      <c r="D1134" s="214"/>
      <c r="E1134" s="214"/>
      <c r="F1134" s="214"/>
      <c r="G1134" s="214"/>
      <c r="H1134" s="214"/>
      <c r="I1134" s="214"/>
      <c r="J1134" s="214"/>
      <c r="K1134" s="214"/>
      <c r="L1134" s="214"/>
      <c r="M1134" s="214"/>
      <c r="N1134" s="214"/>
      <c r="O1134" s="214"/>
      <c r="P1134" s="214"/>
      <c r="Q1134" s="214"/>
      <c r="R1134" s="214"/>
      <c r="S1134" s="214"/>
      <c r="T1134" s="214"/>
      <c r="U1134" s="214"/>
      <c r="V1134" s="214"/>
      <c r="W1134" s="214"/>
      <c r="X1134" s="214"/>
      <c r="Y1134" s="214"/>
      <c r="Z1134" s="214"/>
    </row>
    <row r="1135" ht="15.75" customHeight="1">
      <c r="A1135" s="214"/>
      <c r="B1135" s="214"/>
      <c r="C1135" s="214"/>
      <c r="D1135" s="214"/>
      <c r="E1135" s="214"/>
      <c r="F1135" s="214"/>
      <c r="G1135" s="214"/>
      <c r="H1135" s="214"/>
      <c r="I1135" s="214"/>
      <c r="J1135" s="214"/>
      <c r="K1135" s="214"/>
      <c r="L1135" s="214"/>
      <c r="M1135" s="214"/>
      <c r="N1135" s="214"/>
      <c r="O1135" s="214"/>
      <c r="P1135" s="214"/>
      <c r="Q1135" s="214"/>
      <c r="R1135" s="214"/>
      <c r="S1135" s="214"/>
      <c r="T1135" s="214"/>
      <c r="U1135" s="214"/>
      <c r="V1135" s="214"/>
      <c r="W1135" s="214"/>
      <c r="X1135" s="214"/>
      <c r="Y1135" s="214"/>
      <c r="Z1135" s="214"/>
    </row>
    <row r="1136" ht="15.75" customHeight="1">
      <c r="A1136" s="214"/>
      <c r="B1136" s="214"/>
      <c r="C1136" s="214"/>
      <c r="D1136" s="214"/>
      <c r="E1136" s="214"/>
      <c r="F1136" s="214"/>
      <c r="G1136" s="214"/>
      <c r="H1136" s="214"/>
      <c r="I1136" s="214"/>
      <c r="J1136" s="214"/>
      <c r="K1136" s="214"/>
      <c r="L1136" s="214"/>
      <c r="M1136" s="214"/>
      <c r="N1136" s="214"/>
      <c r="O1136" s="214"/>
      <c r="P1136" s="214"/>
      <c r="Q1136" s="214"/>
      <c r="R1136" s="214"/>
      <c r="S1136" s="214"/>
      <c r="T1136" s="214"/>
      <c r="U1136" s="214"/>
      <c r="V1136" s="214"/>
      <c r="W1136" s="214"/>
      <c r="X1136" s="214"/>
      <c r="Y1136" s="214"/>
      <c r="Z1136" s="214"/>
    </row>
    <row r="1137" ht="15.75" customHeight="1">
      <c r="A1137" s="214"/>
      <c r="B1137" s="214"/>
      <c r="C1137" s="214"/>
      <c r="D1137" s="214"/>
      <c r="E1137" s="214"/>
      <c r="F1137" s="214"/>
      <c r="G1137" s="214"/>
      <c r="H1137" s="214"/>
      <c r="I1137" s="214"/>
      <c r="J1137" s="214"/>
      <c r="K1137" s="214"/>
      <c r="L1137" s="214"/>
      <c r="M1137" s="214"/>
      <c r="N1137" s="214"/>
      <c r="O1137" s="214"/>
      <c r="P1137" s="214"/>
      <c r="Q1137" s="214"/>
      <c r="R1137" s="214"/>
      <c r="S1137" s="214"/>
      <c r="T1137" s="214"/>
      <c r="U1137" s="214"/>
      <c r="V1137" s="214"/>
      <c r="W1137" s="214"/>
      <c r="X1137" s="214"/>
      <c r="Y1137" s="214"/>
      <c r="Z1137" s="214"/>
    </row>
    <row r="1138" ht="15.75" customHeight="1">
      <c r="A1138" s="214"/>
      <c r="B1138" s="214"/>
      <c r="C1138" s="214"/>
      <c r="D1138" s="214"/>
      <c r="E1138" s="214"/>
      <c r="F1138" s="214"/>
      <c r="G1138" s="214"/>
      <c r="H1138" s="214"/>
      <c r="I1138" s="214"/>
      <c r="J1138" s="214"/>
      <c r="K1138" s="214"/>
      <c r="L1138" s="214"/>
      <c r="M1138" s="214"/>
      <c r="N1138" s="214"/>
      <c r="O1138" s="214"/>
      <c r="P1138" s="214"/>
      <c r="Q1138" s="214"/>
      <c r="R1138" s="214"/>
      <c r="S1138" s="214"/>
      <c r="T1138" s="214"/>
      <c r="U1138" s="214"/>
      <c r="V1138" s="214"/>
      <c r="W1138" s="214"/>
      <c r="X1138" s="214"/>
      <c r="Y1138" s="214"/>
      <c r="Z1138" s="214"/>
    </row>
    <row r="1139" ht="15.75" customHeight="1">
      <c r="A1139" s="214"/>
      <c r="B1139" s="214"/>
      <c r="C1139" s="214"/>
      <c r="D1139" s="214"/>
      <c r="E1139" s="214"/>
      <c r="F1139" s="214"/>
      <c r="G1139" s="214"/>
      <c r="H1139" s="214"/>
      <c r="I1139" s="214"/>
      <c r="J1139" s="214"/>
      <c r="K1139" s="214"/>
      <c r="L1139" s="214"/>
      <c r="M1139" s="214"/>
      <c r="N1139" s="214"/>
      <c r="O1139" s="214"/>
      <c r="P1139" s="214"/>
      <c r="Q1139" s="214"/>
      <c r="R1139" s="214"/>
      <c r="S1139" s="214"/>
      <c r="T1139" s="214"/>
      <c r="U1139" s="214"/>
      <c r="V1139" s="214"/>
      <c r="W1139" s="214"/>
      <c r="X1139" s="214"/>
      <c r="Y1139" s="214"/>
      <c r="Z1139" s="214"/>
    </row>
    <row r="1140" ht="15.75" customHeight="1">
      <c r="A1140" s="214"/>
      <c r="B1140" s="214"/>
      <c r="C1140" s="214"/>
      <c r="D1140" s="214"/>
      <c r="E1140" s="214"/>
      <c r="F1140" s="214"/>
      <c r="G1140" s="214"/>
      <c r="H1140" s="214"/>
      <c r="I1140" s="214"/>
      <c r="J1140" s="214"/>
      <c r="K1140" s="214"/>
      <c r="L1140" s="214"/>
      <c r="M1140" s="214"/>
      <c r="N1140" s="214"/>
      <c r="O1140" s="214"/>
      <c r="P1140" s="214"/>
      <c r="Q1140" s="214"/>
      <c r="R1140" s="214"/>
      <c r="S1140" s="214"/>
      <c r="T1140" s="214"/>
      <c r="U1140" s="214"/>
      <c r="V1140" s="214"/>
      <c r="W1140" s="214"/>
      <c r="X1140" s="214"/>
      <c r="Y1140" s="214"/>
      <c r="Z1140" s="214"/>
    </row>
    <row r="1141" ht="15.75" customHeight="1">
      <c r="A1141" s="214"/>
      <c r="B1141" s="214"/>
      <c r="C1141" s="214"/>
      <c r="D1141" s="214"/>
      <c r="E1141" s="214"/>
      <c r="F1141" s="214"/>
      <c r="G1141" s="214"/>
      <c r="H1141" s="214"/>
      <c r="I1141" s="214"/>
      <c r="J1141" s="214"/>
      <c r="K1141" s="214"/>
      <c r="L1141" s="214"/>
      <c r="M1141" s="214"/>
      <c r="N1141" s="214"/>
      <c r="O1141" s="214"/>
      <c r="P1141" s="214"/>
      <c r="Q1141" s="214"/>
      <c r="R1141" s="214"/>
      <c r="S1141" s="214"/>
      <c r="T1141" s="214"/>
      <c r="U1141" s="214"/>
      <c r="V1141" s="214"/>
      <c r="W1141" s="214"/>
      <c r="X1141" s="214"/>
      <c r="Y1141" s="214"/>
      <c r="Z1141" s="214"/>
    </row>
    <row r="1142" ht="15.75" customHeight="1">
      <c r="A1142" s="214"/>
      <c r="B1142" s="214"/>
      <c r="C1142" s="214"/>
      <c r="D1142" s="214"/>
      <c r="E1142" s="214"/>
      <c r="F1142" s="214"/>
      <c r="G1142" s="214"/>
      <c r="H1142" s="214"/>
      <c r="I1142" s="214"/>
      <c r="J1142" s="214"/>
      <c r="K1142" s="214"/>
      <c r="L1142" s="214"/>
      <c r="M1142" s="214"/>
      <c r="N1142" s="214"/>
      <c r="O1142" s="214"/>
      <c r="P1142" s="214"/>
      <c r="Q1142" s="214"/>
      <c r="R1142" s="214"/>
      <c r="S1142" s="214"/>
      <c r="T1142" s="214"/>
      <c r="U1142" s="214"/>
      <c r="V1142" s="214"/>
      <c r="W1142" s="214"/>
      <c r="X1142" s="214"/>
      <c r="Y1142" s="214"/>
      <c r="Z1142" s="214"/>
    </row>
    <row r="1143" ht="15.75" customHeight="1">
      <c r="A1143" s="214"/>
      <c r="B1143" s="214"/>
      <c r="C1143" s="214"/>
      <c r="D1143" s="214"/>
      <c r="E1143" s="214"/>
      <c r="F1143" s="214"/>
      <c r="G1143" s="214"/>
      <c r="H1143" s="214"/>
      <c r="I1143" s="214"/>
      <c r="J1143" s="214"/>
      <c r="K1143" s="214"/>
      <c r="L1143" s="214"/>
      <c r="M1143" s="214"/>
      <c r="N1143" s="214"/>
      <c r="O1143" s="214"/>
      <c r="P1143" s="214"/>
      <c r="Q1143" s="214"/>
      <c r="R1143" s="214"/>
      <c r="S1143" s="214"/>
      <c r="T1143" s="214"/>
      <c r="U1143" s="214"/>
      <c r="V1143" s="214"/>
      <c r="W1143" s="214"/>
      <c r="X1143" s="214"/>
      <c r="Y1143" s="214"/>
      <c r="Z1143" s="214"/>
    </row>
    <row r="1144" ht="15.75" customHeight="1">
      <c r="A1144" s="214"/>
      <c r="B1144" s="214"/>
      <c r="C1144" s="214"/>
      <c r="D1144" s="214"/>
      <c r="E1144" s="214"/>
      <c r="F1144" s="214"/>
      <c r="G1144" s="214"/>
      <c r="H1144" s="214"/>
      <c r="I1144" s="214"/>
      <c r="J1144" s="214"/>
      <c r="K1144" s="214"/>
      <c r="L1144" s="214"/>
      <c r="M1144" s="214"/>
      <c r="N1144" s="214"/>
      <c r="O1144" s="214"/>
      <c r="P1144" s="214"/>
      <c r="Q1144" s="214"/>
      <c r="R1144" s="214"/>
      <c r="S1144" s="214"/>
      <c r="T1144" s="214"/>
      <c r="U1144" s="214"/>
      <c r="V1144" s="214"/>
      <c r="W1144" s="214"/>
      <c r="X1144" s="214"/>
      <c r="Y1144" s="214"/>
      <c r="Z1144" s="214"/>
    </row>
    <row r="1145" ht="15.75" customHeight="1">
      <c r="A1145" s="214"/>
      <c r="B1145" s="214"/>
      <c r="C1145" s="214"/>
      <c r="D1145" s="214"/>
      <c r="E1145" s="214"/>
      <c r="F1145" s="214"/>
      <c r="G1145" s="214"/>
      <c r="H1145" s="214"/>
      <c r="I1145" s="214"/>
      <c r="J1145" s="214"/>
      <c r="K1145" s="214"/>
      <c r="L1145" s="214"/>
      <c r="M1145" s="214"/>
      <c r="N1145" s="214"/>
      <c r="O1145" s="214"/>
      <c r="P1145" s="214"/>
      <c r="Q1145" s="214"/>
      <c r="R1145" s="214"/>
      <c r="S1145" s="214"/>
      <c r="T1145" s="214"/>
      <c r="U1145" s="214"/>
      <c r="V1145" s="214"/>
      <c r="W1145" s="214"/>
      <c r="X1145" s="214"/>
      <c r="Y1145" s="214"/>
      <c r="Z1145" s="214"/>
    </row>
    <row r="1146" ht="15.75" customHeight="1">
      <c r="A1146" s="214"/>
      <c r="B1146" s="214"/>
      <c r="C1146" s="214"/>
      <c r="D1146" s="214"/>
      <c r="E1146" s="214"/>
      <c r="F1146" s="214"/>
      <c r="G1146" s="214"/>
      <c r="H1146" s="214"/>
      <c r="I1146" s="214"/>
      <c r="J1146" s="214"/>
      <c r="K1146" s="214"/>
      <c r="L1146" s="214"/>
      <c r="M1146" s="214"/>
      <c r="N1146" s="214"/>
      <c r="O1146" s="214"/>
      <c r="P1146" s="214"/>
      <c r="Q1146" s="214"/>
      <c r="R1146" s="214"/>
      <c r="S1146" s="214"/>
      <c r="T1146" s="214"/>
      <c r="U1146" s="214"/>
      <c r="V1146" s="214"/>
      <c r="W1146" s="214"/>
      <c r="X1146" s="214"/>
      <c r="Y1146" s="214"/>
      <c r="Z1146" s="214"/>
    </row>
    <row r="1147" ht="15.75" customHeight="1">
      <c r="A1147" s="214"/>
      <c r="B1147" s="214"/>
      <c r="C1147" s="214"/>
      <c r="D1147" s="214"/>
      <c r="E1147" s="214"/>
      <c r="F1147" s="214"/>
      <c r="G1147" s="214"/>
      <c r="H1147" s="214"/>
      <c r="I1147" s="214"/>
      <c r="J1147" s="214"/>
      <c r="K1147" s="214"/>
      <c r="L1147" s="214"/>
      <c r="M1147" s="214"/>
      <c r="N1147" s="214"/>
      <c r="O1147" s="214"/>
      <c r="P1147" s="214"/>
      <c r="Q1147" s="214"/>
      <c r="R1147" s="214"/>
      <c r="S1147" s="214"/>
      <c r="T1147" s="214"/>
      <c r="U1147" s="214"/>
      <c r="V1147" s="214"/>
      <c r="W1147" s="214"/>
      <c r="X1147" s="214"/>
      <c r="Y1147" s="214"/>
      <c r="Z1147" s="214"/>
    </row>
    <row r="1148" ht="15.75" customHeight="1">
      <c r="A1148" s="214"/>
      <c r="B1148" s="214"/>
      <c r="C1148" s="214"/>
      <c r="D1148" s="214"/>
      <c r="E1148" s="214"/>
      <c r="F1148" s="214"/>
      <c r="G1148" s="214"/>
      <c r="H1148" s="214"/>
      <c r="I1148" s="214"/>
      <c r="J1148" s="214"/>
      <c r="K1148" s="214"/>
      <c r="L1148" s="214"/>
      <c r="M1148" s="214"/>
      <c r="N1148" s="214"/>
      <c r="O1148" s="214"/>
      <c r="P1148" s="214"/>
      <c r="Q1148" s="214"/>
      <c r="R1148" s="214"/>
      <c r="S1148" s="214"/>
      <c r="T1148" s="214"/>
      <c r="U1148" s="214"/>
      <c r="V1148" s="214"/>
      <c r="W1148" s="214"/>
      <c r="X1148" s="214"/>
      <c r="Y1148" s="214"/>
      <c r="Z1148" s="214"/>
    </row>
    <row r="1149" ht="15.75" customHeight="1">
      <c r="A1149" s="214"/>
      <c r="B1149" s="214"/>
      <c r="C1149" s="214"/>
      <c r="D1149" s="214"/>
      <c r="E1149" s="214"/>
      <c r="F1149" s="214"/>
      <c r="G1149" s="214"/>
      <c r="H1149" s="214"/>
      <c r="I1149" s="214"/>
      <c r="J1149" s="214"/>
      <c r="K1149" s="214"/>
      <c r="L1149" s="214"/>
      <c r="M1149" s="214"/>
      <c r="N1149" s="214"/>
      <c r="O1149" s="214"/>
      <c r="P1149" s="214"/>
      <c r="Q1149" s="214"/>
      <c r="R1149" s="214"/>
      <c r="S1149" s="214"/>
      <c r="T1149" s="214"/>
      <c r="U1149" s="214"/>
      <c r="V1149" s="214"/>
      <c r="W1149" s="214"/>
      <c r="X1149" s="214"/>
      <c r="Y1149" s="214"/>
      <c r="Z1149" s="214"/>
    </row>
    <row r="1150" ht="15.75" customHeight="1">
      <c r="A1150" s="214"/>
      <c r="B1150" s="214"/>
      <c r="C1150" s="214"/>
      <c r="D1150" s="214"/>
      <c r="E1150" s="214"/>
      <c r="F1150" s="214"/>
      <c r="G1150" s="214"/>
      <c r="H1150" s="214"/>
      <c r="I1150" s="214"/>
      <c r="J1150" s="214"/>
      <c r="K1150" s="214"/>
      <c r="L1150" s="214"/>
      <c r="M1150" s="214"/>
      <c r="N1150" s="214"/>
      <c r="O1150" s="214"/>
      <c r="P1150" s="214"/>
      <c r="Q1150" s="214"/>
      <c r="R1150" s="214"/>
      <c r="S1150" s="214"/>
      <c r="T1150" s="214"/>
      <c r="U1150" s="214"/>
      <c r="V1150" s="214"/>
      <c r="W1150" s="214"/>
      <c r="X1150" s="214"/>
      <c r="Y1150" s="214"/>
      <c r="Z1150" s="214"/>
    </row>
    <row r="1151" ht="15.75" customHeight="1">
      <c r="A1151" s="214"/>
      <c r="B1151" s="214"/>
      <c r="C1151" s="214"/>
      <c r="D1151" s="214"/>
      <c r="E1151" s="214"/>
      <c r="F1151" s="214"/>
      <c r="G1151" s="214"/>
      <c r="H1151" s="214"/>
      <c r="I1151" s="214"/>
      <c r="J1151" s="214"/>
      <c r="K1151" s="214"/>
      <c r="L1151" s="214"/>
      <c r="M1151" s="214"/>
      <c r="N1151" s="214"/>
      <c r="O1151" s="214"/>
      <c r="P1151" s="214"/>
      <c r="Q1151" s="214"/>
      <c r="R1151" s="214"/>
      <c r="S1151" s="214"/>
      <c r="T1151" s="214"/>
      <c r="U1151" s="214"/>
      <c r="V1151" s="214"/>
      <c r="W1151" s="214"/>
      <c r="X1151" s="214"/>
      <c r="Y1151" s="214"/>
      <c r="Z1151" s="214"/>
    </row>
    <row r="1152" ht="15.75" customHeight="1">
      <c r="A1152" s="214"/>
      <c r="B1152" s="214"/>
      <c r="C1152" s="214"/>
      <c r="D1152" s="214"/>
      <c r="E1152" s="214"/>
      <c r="F1152" s="214"/>
      <c r="G1152" s="214"/>
      <c r="H1152" s="214"/>
      <c r="I1152" s="214"/>
      <c r="J1152" s="214"/>
      <c r="K1152" s="214"/>
      <c r="L1152" s="214"/>
      <c r="M1152" s="214"/>
      <c r="N1152" s="214"/>
      <c r="O1152" s="214"/>
      <c r="P1152" s="214"/>
      <c r="Q1152" s="214"/>
      <c r="R1152" s="214"/>
      <c r="S1152" s="214"/>
      <c r="T1152" s="214"/>
      <c r="U1152" s="214"/>
      <c r="V1152" s="214"/>
      <c r="W1152" s="214"/>
      <c r="X1152" s="214"/>
      <c r="Y1152" s="214"/>
      <c r="Z1152" s="214"/>
    </row>
    <row r="1153" ht="15.75" customHeight="1">
      <c r="A1153" s="214"/>
      <c r="B1153" s="214"/>
      <c r="C1153" s="214"/>
      <c r="D1153" s="214"/>
      <c r="E1153" s="214"/>
      <c r="F1153" s="214"/>
      <c r="G1153" s="214"/>
      <c r="H1153" s="214"/>
      <c r="I1153" s="214"/>
      <c r="J1153" s="214"/>
      <c r="K1153" s="214"/>
      <c r="L1153" s="214"/>
      <c r="M1153" s="214"/>
      <c r="N1153" s="214"/>
      <c r="O1153" s="214"/>
      <c r="P1153" s="214"/>
      <c r="Q1153" s="214"/>
      <c r="R1153" s="214"/>
      <c r="S1153" s="214"/>
      <c r="T1153" s="214"/>
      <c r="U1153" s="214"/>
      <c r="V1153" s="214"/>
      <c r="W1153" s="214"/>
      <c r="X1153" s="214"/>
      <c r="Y1153" s="214"/>
      <c r="Z1153" s="214"/>
    </row>
    <row r="1154" ht="15.75" customHeight="1">
      <c r="A1154" s="214"/>
      <c r="B1154" s="214"/>
      <c r="C1154" s="214"/>
      <c r="D1154" s="214"/>
      <c r="E1154" s="214"/>
      <c r="F1154" s="214"/>
      <c r="G1154" s="214"/>
      <c r="H1154" s="214"/>
      <c r="I1154" s="214"/>
      <c r="J1154" s="214"/>
      <c r="K1154" s="214"/>
      <c r="L1154" s="214"/>
      <c r="M1154" s="214"/>
      <c r="N1154" s="214"/>
      <c r="O1154" s="214"/>
      <c r="P1154" s="214"/>
      <c r="Q1154" s="214"/>
      <c r="R1154" s="214"/>
      <c r="S1154" s="214"/>
      <c r="T1154" s="214"/>
      <c r="U1154" s="214"/>
      <c r="V1154" s="214"/>
      <c r="W1154" s="214"/>
      <c r="X1154" s="214"/>
      <c r="Y1154" s="214"/>
      <c r="Z1154" s="214"/>
    </row>
    <row r="1155" ht="15.75" customHeight="1">
      <c r="A1155" s="214"/>
      <c r="B1155" s="214"/>
      <c r="C1155" s="214"/>
      <c r="D1155" s="214"/>
      <c r="E1155" s="214"/>
      <c r="F1155" s="214"/>
      <c r="G1155" s="214"/>
      <c r="H1155" s="214"/>
      <c r="I1155" s="214"/>
      <c r="J1155" s="214"/>
      <c r="K1155" s="214"/>
      <c r="L1155" s="214"/>
      <c r="M1155" s="214"/>
      <c r="N1155" s="214"/>
      <c r="O1155" s="214"/>
      <c r="P1155" s="214"/>
      <c r="Q1155" s="214"/>
      <c r="R1155" s="214"/>
      <c r="S1155" s="214"/>
      <c r="T1155" s="214"/>
      <c r="U1155" s="214"/>
      <c r="V1155" s="214"/>
      <c r="W1155" s="214"/>
      <c r="X1155" s="214"/>
      <c r="Y1155" s="214"/>
      <c r="Z1155" s="214"/>
    </row>
    <row r="1156" ht="15.75" customHeight="1">
      <c r="A1156" s="214"/>
      <c r="B1156" s="214"/>
      <c r="C1156" s="214"/>
      <c r="D1156" s="214"/>
      <c r="E1156" s="214"/>
      <c r="F1156" s="214"/>
      <c r="G1156" s="214"/>
      <c r="H1156" s="214"/>
      <c r="I1156" s="214"/>
      <c r="J1156" s="214"/>
      <c r="K1156" s="214"/>
      <c r="L1156" s="214"/>
      <c r="M1156" s="214"/>
      <c r="N1156" s="214"/>
      <c r="O1156" s="214"/>
      <c r="P1156" s="214"/>
      <c r="Q1156" s="214"/>
      <c r="R1156" s="214"/>
      <c r="S1156" s="214"/>
      <c r="T1156" s="214"/>
      <c r="U1156" s="214"/>
      <c r="V1156" s="214"/>
      <c r="W1156" s="214"/>
      <c r="X1156" s="214"/>
      <c r="Y1156" s="214"/>
      <c r="Z1156" s="214"/>
    </row>
    <row r="1157" ht="15.75" customHeight="1">
      <c r="A1157" s="214"/>
      <c r="B1157" s="214"/>
      <c r="C1157" s="214"/>
      <c r="D1157" s="214"/>
      <c r="E1157" s="214"/>
      <c r="F1157" s="214"/>
      <c r="G1157" s="214"/>
      <c r="H1157" s="214"/>
      <c r="I1157" s="214"/>
      <c r="J1157" s="214"/>
      <c r="K1157" s="214"/>
      <c r="L1157" s="214"/>
      <c r="M1157" s="214"/>
      <c r="N1157" s="214"/>
      <c r="O1157" s="214"/>
      <c r="P1157" s="214"/>
      <c r="Q1157" s="214"/>
      <c r="R1157" s="214"/>
      <c r="S1157" s="214"/>
      <c r="T1157" s="214"/>
      <c r="U1157" s="214"/>
      <c r="V1157" s="214"/>
      <c r="W1157" s="214"/>
      <c r="X1157" s="214"/>
      <c r="Y1157" s="214"/>
      <c r="Z1157" s="214"/>
    </row>
    <row r="1158" ht="15.75" customHeight="1">
      <c r="A1158" s="214"/>
      <c r="B1158" s="214"/>
      <c r="C1158" s="214"/>
      <c r="D1158" s="214"/>
      <c r="E1158" s="214"/>
      <c r="F1158" s="214"/>
      <c r="G1158" s="214"/>
      <c r="H1158" s="214"/>
      <c r="I1158" s="214"/>
      <c r="J1158" s="214"/>
      <c r="K1158" s="214"/>
      <c r="L1158" s="214"/>
      <c r="M1158" s="214"/>
      <c r="N1158" s="214"/>
      <c r="O1158" s="214"/>
      <c r="P1158" s="214"/>
      <c r="Q1158" s="214"/>
      <c r="R1158" s="214"/>
      <c r="S1158" s="214"/>
      <c r="T1158" s="214"/>
      <c r="U1158" s="214"/>
      <c r="V1158" s="214"/>
      <c r="W1158" s="214"/>
      <c r="X1158" s="214"/>
      <c r="Y1158" s="214"/>
      <c r="Z1158" s="214"/>
    </row>
    <row r="1159" ht="15.75" customHeight="1">
      <c r="A1159" s="214"/>
      <c r="B1159" s="214"/>
      <c r="C1159" s="214"/>
      <c r="D1159" s="214"/>
      <c r="E1159" s="214"/>
      <c r="F1159" s="214"/>
      <c r="G1159" s="214"/>
      <c r="H1159" s="214"/>
      <c r="I1159" s="214"/>
      <c r="J1159" s="214"/>
      <c r="K1159" s="214"/>
      <c r="L1159" s="214"/>
      <c r="M1159" s="214"/>
      <c r="N1159" s="214"/>
      <c r="O1159" s="214"/>
      <c r="P1159" s="214"/>
      <c r="Q1159" s="214"/>
      <c r="R1159" s="214"/>
      <c r="S1159" s="214"/>
      <c r="T1159" s="214"/>
      <c r="U1159" s="214"/>
      <c r="V1159" s="214"/>
      <c r="W1159" s="214"/>
      <c r="X1159" s="214"/>
      <c r="Y1159" s="214"/>
      <c r="Z1159" s="214"/>
    </row>
    <row r="1160" ht="15.75" customHeight="1">
      <c r="A1160" s="214"/>
      <c r="B1160" s="214"/>
      <c r="C1160" s="214"/>
      <c r="D1160" s="214"/>
      <c r="E1160" s="214"/>
      <c r="F1160" s="214"/>
      <c r="G1160" s="214"/>
      <c r="H1160" s="214"/>
      <c r="I1160" s="214"/>
      <c r="J1160" s="214"/>
      <c r="K1160" s="214"/>
      <c r="L1160" s="214"/>
      <c r="M1160" s="214"/>
      <c r="N1160" s="214"/>
      <c r="O1160" s="214"/>
      <c r="P1160" s="214"/>
      <c r="Q1160" s="214"/>
      <c r="R1160" s="214"/>
      <c r="S1160" s="214"/>
      <c r="T1160" s="214"/>
      <c r="U1160" s="214"/>
      <c r="V1160" s="214"/>
      <c r="W1160" s="214"/>
      <c r="X1160" s="214"/>
      <c r="Y1160" s="214"/>
      <c r="Z1160" s="214"/>
    </row>
    <row r="1161" ht="15.75" customHeight="1">
      <c r="A1161" s="214"/>
      <c r="B1161" s="214"/>
      <c r="C1161" s="214"/>
      <c r="D1161" s="214"/>
      <c r="E1161" s="214"/>
      <c r="F1161" s="214"/>
      <c r="G1161" s="214"/>
      <c r="H1161" s="214"/>
      <c r="I1161" s="214"/>
      <c r="J1161" s="214"/>
      <c r="K1161" s="214"/>
      <c r="L1161" s="214"/>
      <c r="M1161" s="214"/>
      <c r="N1161" s="214"/>
      <c r="O1161" s="214"/>
      <c r="P1161" s="214"/>
      <c r="Q1161" s="214"/>
      <c r="R1161" s="214"/>
      <c r="S1161" s="214"/>
      <c r="T1161" s="214"/>
      <c r="U1161" s="214"/>
      <c r="V1161" s="214"/>
      <c r="W1161" s="214"/>
      <c r="X1161" s="214"/>
      <c r="Y1161" s="214"/>
      <c r="Z1161" s="214"/>
    </row>
    <row r="1162" ht="15.75" customHeight="1">
      <c r="A1162" s="214"/>
      <c r="B1162" s="214"/>
      <c r="C1162" s="214"/>
      <c r="D1162" s="214"/>
      <c r="E1162" s="214"/>
      <c r="F1162" s="214"/>
      <c r="G1162" s="214"/>
      <c r="H1162" s="214"/>
      <c r="I1162" s="214"/>
      <c r="J1162" s="214"/>
      <c r="K1162" s="214"/>
      <c r="L1162" s="214"/>
      <c r="M1162" s="214"/>
      <c r="N1162" s="214"/>
      <c r="O1162" s="214"/>
      <c r="P1162" s="214"/>
      <c r="Q1162" s="214"/>
      <c r="R1162" s="214"/>
      <c r="S1162" s="214"/>
      <c r="T1162" s="214"/>
      <c r="U1162" s="214"/>
      <c r="V1162" s="214"/>
      <c r="W1162" s="214"/>
      <c r="X1162" s="214"/>
      <c r="Y1162" s="214"/>
      <c r="Z1162" s="214"/>
    </row>
    <row r="1163" ht="15.75" customHeight="1">
      <c r="A1163" s="214"/>
      <c r="B1163" s="214"/>
      <c r="C1163" s="214"/>
      <c r="D1163" s="214"/>
      <c r="E1163" s="214"/>
      <c r="F1163" s="214"/>
      <c r="G1163" s="214"/>
      <c r="H1163" s="214"/>
      <c r="I1163" s="214"/>
      <c r="J1163" s="214"/>
      <c r="K1163" s="214"/>
      <c r="L1163" s="214"/>
      <c r="M1163" s="214"/>
      <c r="N1163" s="214"/>
      <c r="O1163" s="214"/>
      <c r="P1163" s="214"/>
      <c r="Q1163" s="214"/>
      <c r="R1163" s="214"/>
      <c r="S1163" s="214"/>
      <c r="T1163" s="214"/>
      <c r="U1163" s="214"/>
      <c r="V1163" s="214"/>
      <c r="W1163" s="214"/>
      <c r="X1163" s="214"/>
      <c r="Y1163" s="214"/>
      <c r="Z1163" s="214"/>
    </row>
    <row r="1164" ht="15.75" customHeight="1">
      <c r="A1164" s="214"/>
      <c r="B1164" s="214"/>
      <c r="C1164" s="214"/>
      <c r="D1164" s="214"/>
      <c r="E1164" s="214"/>
      <c r="F1164" s="214"/>
      <c r="G1164" s="214"/>
      <c r="H1164" s="214"/>
      <c r="I1164" s="214"/>
      <c r="J1164" s="214"/>
      <c r="K1164" s="214"/>
      <c r="L1164" s="214"/>
      <c r="M1164" s="214"/>
      <c r="N1164" s="214"/>
      <c r="O1164" s="214"/>
      <c r="P1164" s="214"/>
      <c r="Q1164" s="214"/>
      <c r="R1164" s="214"/>
      <c r="S1164" s="214"/>
      <c r="T1164" s="214"/>
      <c r="U1164" s="214"/>
      <c r="V1164" s="214"/>
      <c r="W1164" s="214"/>
      <c r="X1164" s="214"/>
      <c r="Y1164" s="214"/>
      <c r="Z1164" s="214"/>
    </row>
    <row r="1165" ht="15.75" customHeight="1">
      <c r="A1165" s="214"/>
      <c r="B1165" s="214"/>
      <c r="C1165" s="214"/>
      <c r="D1165" s="214"/>
      <c r="E1165" s="214"/>
      <c r="F1165" s="214"/>
      <c r="G1165" s="214"/>
      <c r="H1165" s="214"/>
      <c r="I1165" s="214"/>
      <c r="J1165" s="214"/>
      <c r="K1165" s="214"/>
      <c r="L1165" s="214"/>
      <c r="M1165" s="214"/>
      <c r="N1165" s="214"/>
      <c r="O1165" s="214"/>
      <c r="P1165" s="214"/>
      <c r="Q1165" s="214"/>
      <c r="R1165" s="214"/>
      <c r="S1165" s="214"/>
      <c r="T1165" s="214"/>
      <c r="U1165" s="214"/>
      <c r="V1165" s="214"/>
      <c r="W1165" s="214"/>
      <c r="X1165" s="214"/>
      <c r="Y1165" s="214"/>
      <c r="Z1165" s="214"/>
    </row>
    <row r="1166" ht="15.75" customHeight="1">
      <c r="A1166" s="214"/>
      <c r="B1166" s="214"/>
      <c r="C1166" s="214"/>
      <c r="D1166" s="214"/>
      <c r="E1166" s="214"/>
      <c r="F1166" s="214"/>
      <c r="G1166" s="214"/>
      <c r="H1166" s="214"/>
      <c r="I1166" s="214"/>
      <c r="J1166" s="214"/>
      <c r="K1166" s="214"/>
      <c r="L1166" s="214"/>
      <c r="M1166" s="214"/>
      <c r="N1166" s="214"/>
      <c r="O1166" s="214"/>
      <c r="P1166" s="214"/>
      <c r="Q1166" s="214"/>
      <c r="R1166" s="214"/>
      <c r="S1166" s="214"/>
      <c r="T1166" s="214"/>
      <c r="U1166" s="214"/>
      <c r="V1166" s="214"/>
      <c r="W1166" s="214"/>
      <c r="X1166" s="214"/>
      <c r="Y1166" s="214"/>
      <c r="Z1166" s="214"/>
    </row>
    <row r="1167" ht="15.75" customHeight="1">
      <c r="A1167" s="214"/>
      <c r="B1167" s="214"/>
      <c r="C1167" s="214"/>
      <c r="D1167" s="214"/>
      <c r="E1167" s="214"/>
      <c r="F1167" s="214"/>
      <c r="G1167" s="214"/>
      <c r="H1167" s="214"/>
      <c r="I1167" s="214"/>
      <c r="J1167" s="214"/>
      <c r="K1167" s="214"/>
      <c r="L1167" s="214"/>
      <c r="M1167" s="214"/>
      <c r="N1167" s="214"/>
      <c r="O1167" s="214"/>
      <c r="P1167" s="214"/>
      <c r="Q1167" s="214"/>
      <c r="R1167" s="214"/>
      <c r="S1167" s="214"/>
      <c r="T1167" s="214"/>
      <c r="U1167" s="214"/>
      <c r="V1167" s="214"/>
      <c r="W1167" s="214"/>
      <c r="X1167" s="214"/>
      <c r="Y1167" s="214"/>
      <c r="Z1167" s="214"/>
    </row>
    <row r="1168" ht="15.75" customHeight="1">
      <c r="A1168" s="214"/>
      <c r="B1168" s="214"/>
      <c r="C1168" s="214"/>
      <c r="D1168" s="214"/>
      <c r="E1168" s="214"/>
      <c r="F1168" s="214"/>
      <c r="G1168" s="214"/>
      <c r="H1168" s="214"/>
      <c r="I1168" s="214"/>
      <c r="J1168" s="214"/>
      <c r="K1168" s="214"/>
      <c r="L1168" s="214"/>
      <c r="M1168" s="214"/>
      <c r="N1168" s="214"/>
      <c r="O1168" s="214"/>
      <c r="P1168" s="214"/>
      <c r="Q1168" s="214"/>
      <c r="R1168" s="214"/>
      <c r="S1168" s="214"/>
      <c r="T1168" s="214"/>
      <c r="U1168" s="214"/>
      <c r="V1168" s="214"/>
      <c r="W1168" s="214"/>
      <c r="X1168" s="214"/>
      <c r="Y1168" s="214"/>
      <c r="Z1168" s="214"/>
    </row>
    <row r="1169" ht="15.75" customHeight="1">
      <c r="A1169" s="214"/>
      <c r="B1169" s="214"/>
      <c r="C1169" s="214"/>
      <c r="D1169" s="214"/>
      <c r="E1169" s="214"/>
      <c r="F1169" s="214"/>
      <c r="G1169" s="214"/>
      <c r="H1169" s="214"/>
      <c r="I1169" s="214"/>
      <c r="J1169" s="214"/>
      <c r="K1169" s="214"/>
      <c r="L1169" s="214"/>
      <c r="M1169" s="214"/>
      <c r="N1169" s="214"/>
      <c r="O1169" s="214"/>
      <c r="P1169" s="214"/>
      <c r="Q1169" s="214"/>
      <c r="R1169" s="214"/>
      <c r="S1169" s="214"/>
      <c r="T1169" s="214"/>
      <c r="U1169" s="214"/>
      <c r="V1169" s="214"/>
      <c r="W1169" s="214"/>
      <c r="X1169" s="214"/>
      <c r="Y1169" s="214"/>
      <c r="Z1169" s="214"/>
    </row>
    <row r="1170" ht="15.75" customHeight="1">
      <c r="A1170" s="214"/>
      <c r="B1170" s="214"/>
      <c r="C1170" s="214"/>
      <c r="D1170" s="214"/>
      <c r="E1170" s="214"/>
      <c r="F1170" s="214"/>
      <c r="G1170" s="214"/>
      <c r="H1170" s="214"/>
      <c r="I1170" s="214"/>
      <c r="J1170" s="214"/>
      <c r="K1170" s="214"/>
      <c r="L1170" s="214"/>
      <c r="M1170" s="214"/>
      <c r="N1170" s="214"/>
      <c r="O1170" s="214"/>
      <c r="P1170" s="214"/>
      <c r="Q1170" s="214"/>
      <c r="R1170" s="214"/>
      <c r="S1170" s="214"/>
      <c r="T1170" s="214"/>
      <c r="U1170" s="214"/>
      <c r="V1170" s="214"/>
      <c r="W1170" s="214"/>
      <c r="X1170" s="214"/>
      <c r="Y1170" s="214"/>
      <c r="Z1170" s="214"/>
    </row>
    <row r="1171" ht="15.75" customHeight="1">
      <c r="A1171" s="214"/>
      <c r="B1171" s="214"/>
      <c r="C1171" s="214"/>
      <c r="D1171" s="214"/>
      <c r="E1171" s="214"/>
      <c r="F1171" s="214"/>
      <c r="G1171" s="214"/>
      <c r="H1171" s="214"/>
      <c r="I1171" s="214"/>
      <c r="J1171" s="214"/>
      <c r="K1171" s="214"/>
      <c r="L1171" s="214"/>
      <c r="M1171" s="214"/>
      <c r="N1171" s="214"/>
      <c r="O1171" s="214"/>
      <c r="P1171" s="214"/>
      <c r="Q1171" s="214"/>
      <c r="R1171" s="214"/>
      <c r="S1171" s="214"/>
      <c r="T1171" s="214"/>
      <c r="U1171" s="214"/>
      <c r="V1171" s="214"/>
      <c r="W1171" s="214"/>
      <c r="X1171" s="214"/>
      <c r="Y1171" s="214"/>
      <c r="Z1171" s="214"/>
    </row>
    <row r="1172" ht="15.75" customHeight="1">
      <c r="A1172" s="214"/>
      <c r="B1172" s="214"/>
      <c r="C1172" s="214"/>
      <c r="D1172" s="214"/>
      <c r="E1172" s="214"/>
      <c r="F1172" s="214"/>
      <c r="G1172" s="214"/>
      <c r="H1172" s="214"/>
      <c r="I1172" s="214"/>
      <c r="J1172" s="214"/>
      <c r="K1172" s="214"/>
      <c r="L1172" s="214"/>
      <c r="M1172" s="214"/>
      <c r="N1172" s="214"/>
      <c r="O1172" s="214"/>
      <c r="P1172" s="214"/>
      <c r="Q1172" s="214"/>
      <c r="R1172" s="214"/>
      <c r="S1172" s="214"/>
      <c r="T1172" s="214"/>
      <c r="U1172" s="214"/>
      <c r="V1172" s="214"/>
      <c r="W1172" s="214"/>
      <c r="X1172" s="214"/>
      <c r="Y1172" s="214"/>
      <c r="Z1172" s="214"/>
    </row>
    <row r="1173" ht="15.75" customHeight="1">
      <c r="A1173" s="214"/>
      <c r="B1173" s="214"/>
      <c r="C1173" s="214"/>
      <c r="D1173" s="214"/>
      <c r="E1173" s="214"/>
      <c r="F1173" s="214"/>
      <c r="G1173" s="214"/>
      <c r="H1173" s="214"/>
      <c r="I1173" s="214"/>
      <c r="J1173" s="214"/>
      <c r="K1173" s="214"/>
      <c r="L1173" s="214"/>
      <c r="M1173" s="214"/>
      <c r="N1173" s="214"/>
      <c r="O1173" s="214"/>
      <c r="P1173" s="214"/>
      <c r="Q1173" s="214"/>
      <c r="R1173" s="214"/>
      <c r="S1173" s="214"/>
      <c r="T1173" s="214"/>
      <c r="U1173" s="214"/>
      <c r="V1173" s="214"/>
      <c r="W1173" s="214"/>
      <c r="X1173" s="214"/>
      <c r="Y1173" s="214"/>
      <c r="Z1173" s="214"/>
    </row>
    <row r="1174" ht="15.75" customHeight="1">
      <c r="A1174" s="214"/>
      <c r="B1174" s="214"/>
      <c r="C1174" s="214"/>
      <c r="D1174" s="214"/>
      <c r="E1174" s="214"/>
      <c r="F1174" s="214"/>
      <c r="G1174" s="214"/>
      <c r="H1174" s="214"/>
      <c r="I1174" s="214"/>
      <c r="J1174" s="214"/>
      <c r="K1174" s="214"/>
      <c r="L1174" s="214"/>
      <c r="M1174" s="214"/>
      <c r="N1174" s="214"/>
      <c r="O1174" s="214"/>
      <c r="P1174" s="214"/>
      <c r="Q1174" s="214"/>
      <c r="R1174" s="214"/>
      <c r="S1174" s="214"/>
      <c r="T1174" s="214"/>
      <c r="U1174" s="214"/>
      <c r="V1174" s="214"/>
      <c r="W1174" s="214"/>
      <c r="X1174" s="214"/>
      <c r="Y1174" s="214"/>
      <c r="Z1174" s="214"/>
    </row>
    <row r="1175" ht="15.75" customHeight="1">
      <c r="A1175" s="214"/>
      <c r="B1175" s="214"/>
      <c r="C1175" s="214"/>
      <c r="D1175" s="214"/>
      <c r="E1175" s="214"/>
      <c r="F1175" s="214"/>
      <c r="G1175" s="214"/>
      <c r="H1175" s="214"/>
      <c r="I1175" s="214"/>
      <c r="J1175" s="214"/>
      <c r="K1175" s="214"/>
      <c r="L1175" s="214"/>
      <c r="M1175" s="214"/>
      <c r="N1175" s="214"/>
      <c r="O1175" s="214"/>
      <c r="P1175" s="214"/>
      <c r="Q1175" s="214"/>
      <c r="R1175" s="214"/>
      <c r="S1175" s="214"/>
      <c r="T1175" s="214"/>
      <c r="U1175" s="214"/>
      <c r="V1175" s="214"/>
      <c r="W1175" s="214"/>
      <c r="X1175" s="214"/>
      <c r="Y1175" s="214"/>
      <c r="Z1175" s="214"/>
    </row>
    <row r="1176" ht="15.75" customHeight="1">
      <c r="A1176" s="214"/>
      <c r="B1176" s="214"/>
      <c r="C1176" s="214"/>
      <c r="D1176" s="214"/>
      <c r="E1176" s="214"/>
      <c r="F1176" s="214"/>
      <c r="G1176" s="214"/>
      <c r="H1176" s="214"/>
      <c r="I1176" s="214"/>
      <c r="J1176" s="214"/>
      <c r="K1176" s="214"/>
      <c r="L1176" s="214"/>
      <c r="M1176" s="214"/>
      <c r="N1176" s="214"/>
      <c r="O1176" s="214"/>
      <c r="P1176" s="214"/>
      <c r="Q1176" s="214"/>
      <c r="R1176" s="214"/>
      <c r="S1176" s="214"/>
      <c r="T1176" s="214"/>
      <c r="U1176" s="214"/>
      <c r="V1176" s="214"/>
      <c r="W1176" s="214"/>
      <c r="X1176" s="214"/>
      <c r="Y1176" s="214"/>
      <c r="Z1176" s="214"/>
    </row>
    <row r="1177" ht="15.75" customHeight="1">
      <c r="A1177" s="214"/>
      <c r="B1177" s="214"/>
      <c r="C1177" s="214"/>
      <c r="D1177" s="214"/>
      <c r="E1177" s="214"/>
      <c r="F1177" s="214"/>
      <c r="G1177" s="214"/>
      <c r="H1177" s="214"/>
      <c r="I1177" s="214"/>
      <c r="J1177" s="214"/>
      <c r="K1177" s="214"/>
      <c r="L1177" s="214"/>
      <c r="M1177" s="214"/>
      <c r="N1177" s="214"/>
      <c r="O1177" s="214"/>
      <c r="P1177" s="214"/>
      <c r="Q1177" s="214"/>
      <c r="R1177" s="214"/>
      <c r="S1177" s="214"/>
      <c r="T1177" s="214"/>
      <c r="U1177" s="214"/>
      <c r="V1177" s="214"/>
      <c r="W1177" s="214"/>
      <c r="X1177" s="214"/>
      <c r="Y1177" s="214"/>
      <c r="Z1177" s="214"/>
    </row>
    <row r="1178" ht="15.75" customHeight="1">
      <c r="A1178" s="214"/>
      <c r="B1178" s="214"/>
      <c r="C1178" s="214"/>
      <c r="D1178" s="214"/>
      <c r="E1178" s="214"/>
      <c r="F1178" s="214"/>
      <c r="G1178" s="214"/>
      <c r="H1178" s="214"/>
      <c r="I1178" s="214"/>
      <c r="J1178" s="214"/>
      <c r="K1178" s="214"/>
      <c r="L1178" s="214"/>
      <c r="M1178" s="214"/>
      <c r="N1178" s="214"/>
      <c r="O1178" s="214"/>
      <c r="P1178" s="214"/>
      <c r="Q1178" s="214"/>
      <c r="R1178" s="214"/>
      <c r="S1178" s="214"/>
      <c r="T1178" s="214"/>
      <c r="U1178" s="214"/>
      <c r="V1178" s="214"/>
      <c r="W1178" s="214"/>
      <c r="X1178" s="214"/>
      <c r="Y1178" s="214"/>
      <c r="Z1178" s="214"/>
    </row>
    <row r="1179" ht="15.75" customHeight="1">
      <c r="A1179" s="214"/>
      <c r="B1179" s="214"/>
      <c r="C1179" s="214"/>
      <c r="D1179" s="214"/>
      <c r="E1179" s="214"/>
      <c r="F1179" s="214"/>
      <c r="G1179" s="214"/>
      <c r="H1179" s="214"/>
      <c r="I1179" s="214"/>
      <c r="J1179" s="214"/>
      <c r="K1179" s="214"/>
      <c r="L1179" s="214"/>
      <c r="M1179" s="214"/>
      <c r="N1179" s="214"/>
      <c r="O1179" s="214"/>
      <c r="P1179" s="214"/>
      <c r="Q1179" s="214"/>
      <c r="R1179" s="214"/>
      <c r="S1179" s="214"/>
      <c r="T1179" s="214"/>
      <c r="U1179" s="214"/>
      <c r="V1179" s="214"/>
      <c r="W1179" s="214"/>
      <c r="X1179" s="214"/>
      <c r="Y1179" s="214"/>
      <c r="Z1179" s="214"/>
    </row>
    <row r="1180" ht="15.75" customHeight="1">
      <c r="A1180" s="214"/>
      <c r="B1180" s="214"/>
      <c r="C1180" s="214"/>
      <c r="D1180" s="214"/>
      <c r="E1180" s="214"/>
      <c r="F1180" s="214"/>
      <c r="G1180" s="214"/>
      <c r="H1180" s="214"/>
      <c r="I1180" s="214"/>
      <c r="J1180" s="214"/>
      <c r="K1180" s="214"/>
      <c r="L1180" s="214"/>
      <c r="M1180" s="214"/>
      <c r="N1180" s="214"/>
      <c r="O1180" s="214"/>
      <c r="P1180" s="214"/>
      <c r="Q1180" s="214"/>
      <c r="R1180" s="214"/>
      <c r="S1180" s="214"/>
      <c r="T1180" s="214"/>
      <c r="U1180" s="214"/>
      <c r="V1180" s="214"/>
      <c r="W1180" s="214"/>
      <c r="X1180" s="214"/>
      <c r="Y1180" s="214"/>
      <c r="Z1180" s="214"/>
    </row>
    <row r="1181" ht="15.75" customHeight="1">
      <c r="A1181" s="214"/>
      <c r="B1181" s="214"/>
      <c r="C1181" s="214"/>
      <c r="D1181" s="214"/>
      <c r="E1181" s="214"/>
      <c r="F1181" s="214"/>
      <c r="G1181" s="214"/>
      <c r="H1181" s="214"/>
      <c r="I1181" s="214"/>
      <c r="J1181" s="214"/>
      <c r="K1181" s="214"/>
      <c r="L1181" s="214"/>
      <c r="M1181" s="214"/>
      <c r="N1181" s="214"/>
      <c r="O1181" s="214"/>
      <c r="P1181" s="214"/>
      <c r="Q1181" s="214"/>
      <c r="R1181" s="214"/>
      <c r="S1181" s="214"/>
      <c r="T1181" s="214"/>
      <c r="U1181" s="214"/>
      <c r="V1181" s="214"/>
      <c r="W1181" s="214"/>
      <c r="X1181" s="214"/>
      <c r="Y1181" s="214"/>
      <c r="Z1181" s="214"/>
    </row>
    <row r="1182" ht="15.75" customHeight="1">
      <c r="A1182" s="214"/>
      <c r="B1182" s="214"/>
      <c r="C1182" s="214"/>
      <c r="D1182" s="214"/>
      <c r="E1182" s="214"/>
      <c r="F1182" s="214"/>
      <c r="G1182" s="214"/>
      <c r="H1182" s="214"/>
      <c r="I1182" s="214"/>
      <c r="J1182" s="214"/>
      <c r="K1182" s="214"/>
      <c r="L1182" s="214"/>
      <c r="M1182" s="214"/>
      <c r="N1182" s="214"/>
      <c r="O1182" s="214"/>
      <c r="P1182" s="214"/>
      <c r="Q1182" s="214"/>
      <c r="R1182" s="214"/>
      <c r="S1182" s="214"/>
      <c r="T1182" s="214"/>
      <c r="U1182" s="214"/>
      <c r="V1182" s="214"/>
      <c r="W1182" s="214"/>
      <c r="X1182" s="214"/>
      <c r="Y1182" s="214"/>
      <c r="Z1182" s="214"/>
    </row>
    <row r="1183" ht="15.75" customHeight="1">
      <c r="A1183" s="214"/>
      <c r="B1183" s="214"/>
      <c r="C1183" s="214"/>
      <c r="D1183" s="214"/>
      <c r="E1183" s="214"/>
      <c r="F1183" s="214"/>
      <c r="G1183" s="214"/>
      <c r="H1183" s="214"/>
      <c r="I1183" s="214"/>
      <c r="J1183" s="214"/>
      <c r="K1183" s="214"/>
      <c r="L1183" s="214"/>
      <c r="M1183" s="214"/>
      <c r="N1183" s="214"/>
      <c r="O1183" s="214"/>
      <c r="P1183" s="214"/>
      <c r="Q1183" s="214"/>
      <c r="R1183" s="214"/>
      <c r="S1183" s="214"/>
      <c r="T1183" s="214"/>
      <c r="U1183" s="214"/>
      <c r="V1183" s="214"/>
      <c r="W1183" s="214"/>
      <c r="X1183" s="214"/>
      <c r="Y1183" s="214"/>
      <c r="Z1183" s="214"/>
    </row>
    <row r="1184" ht="15.75" customHeight="1">
      <c r="A1184" s="214"/>
      <c r="B1184" s="214"/>
      <c r="C1184" s="214"/>
      <c r="D1184" s="214"/>
      <c r="E1184" s="214"/>
      <c r="F1184" s="214"/>
      <c r="G1184" s="214"/>
      <c r="H1184" s="214"/>
      <c r="I1184" s="214"/>
      <c r="J1184" s="214"/>
      <c r="K1184" s="214"/>
      <c r="L1184" s="214"/>
      <c r="M1184" s="214"/>
      <c r="N1184" s="214"/>
      <c r="O1184" s="214"/>
      <c r="P1184" s="214"/>
      <c r="Q1184" s="214"/>
      <c r="R1184" s="214"/>
      <c r="S1184" s="214"/>
      <c r="T1184" s="214"/>
      <c r="U1184" s="214"/>
      <c r="V1184" s="214"/>
      <c r="W1184" s="214"/>
      <c r="X1184" s="214"/>
      <c r="Y1184" s="214"/>
      <c r="Z1184" s="214"/>
    </row>
    <row r="1185" ht="15.75" customHeight="1">
      <c r="A1185" s="214"/>
      <c r="B1185" s="214"/>
      <c r="C1185" s="214"/>
      <c r="D1185" s="214"/>
      <c r="E1185" s="214"/>
      <c r="F1185" s="214"/>
      <c r="G1185" s="214"/>
      <c r="H1185" s="214"/>
      <c r="I1185" s="214"/>
      <c r="J1185" s="214"/>
      <c r="K1185" s="214"/>
      <c r="L1185" s="214"/>
      <c r="M1185" s="214"/>
      <c r="N1185" s="214"/>
      <c r="O1185" s="214"/>
      <c r="P1185" s="214"/>
      <c r="Q1185" s="214"/>
      <c r="R1185" s="214"/>
      <c r="S1185" s="214"/>
      <c r="T1185" s="214"/>
      <c r="U1185" s="214"/>
      <c r="V1185" s="214"/>
      <c r="W1185" s="214"/>
      <c r="X1185" s="214"/>
      <c r="Y1185" s="214"/>
      <c r="Z1185" s="214"/>
    </row>
    <row r="1186" ht="15.75" customHeight="1">
      <c r="A1186" s="214"/>
      <c r="B1186" s="214"/>
      <c r="C1186" s="214"/>
      <c r="D1186" s="214"/>
      <c r="E1186" s="214"/>
      <c r="F1186" s="214"/>
      <c r="G1186" s="214"/>
      <c r="H1186" s="214"/>
      <c r="I1186" s="214"/>
      <c r="J1186" s="214"/>
      <c r="K1186" s="214"/>
      <c r="L1186" s="214"/>
      <c r="M1186" s="214"/>
      <c r="N1186" s="214"/>
      <c r="O1186" s="214"/>
      <c r="P1186" s="214"/>
      <c r="Q1186" s="214"/>
      <c r="R1186" s="214"/>
      <c r="S1186" s="214"/>
      <c r="T1186" s="214"/>
      <c r="U1186" s="214"/>
      <c r="V1186" s="214"/>
      <c r="W1186" s="214"/>
      <c r="X1186" s="214"/>
      <c r="Y1186" s="214"/>
      <c r="Z1186" s="214"/>
    </row>
    <row r="1187" ht="15.75" customHeight="1">
      <c r="A1187" s="214"/>
      <c r="B1187" s="214"/>
      <c r="C1187" s="214"/>
      <c r="D1187" s="214"/>
      <c r="E1187" s="214"/>
      <c r="F1187" s="214"/>
      <c r="G1187" s="214"/>
      <c r="H1187" s="214"/>
      <c r="I1187" s="214"/>
      <c r="J1187" s="214"/>
      <c r="K1187" s="214"/>
      <c r="L1187" s="214"/>
      <c r="M1187" s="214"/>
      <c r="N1187" s="214"/>
      <c r="O1187" s="214"/>
      <c r="P1187" s="214"/>
      <c r="Q1187" s="214"/>
      <c r="R1187" s="214"/>
      <c r="S1187" s="214"/>
      <c r="T1187" s="214"/>
      <c r="U1187" s="214"/>
      <c r="V1187" s="214"/>
      <c r="W1187" s="214"/>
      <c r="X1187" s="214"/>
      <c r="Y1187" s="214"/>
      <c r="Z1187" s="214"/>
    </row>
    <row r="1188" ht="15.75" customHeight="1">
      <c r="A1188" s="214"/>
      <c r="B1188" s="214"/>
      <c r="C1188" s="214"/>
      <c r="D1188" s="214"/>
      <c r="E1188" s="214"/>
      <c r="F1188" s="214"/>
      <c r="G1188" s="214"/>
      <c r="H1188" s="214"/>
      <c r="I1188" s="214"/>
      <c r="J1188" s="214"/>
      <c r="K1188" s="214"/>
      <c r="L1188" s="214"/>
      <c r="M1188" s="214"/>
      <c r="N1188" s="214"/>
      <c r="O1188" s="214"/>
      <c r="P1188" s="214"/>
      <c r="Q1188" s="214"/>
      <c r="R1188" s="214"/>
      <c r="S1188" s="214"/>
      <c r="T1188" s="214"/>
      <c r="U1188" s="214"/>
      <c r="V1188" s="214"/>
      <c r="W1188" s="214"/>
      <c r="X1188" s="214"/>
      <c r="Y1188" s="214"/>
      <c r="Z1188" s="214"/>
    </row>
    <row r="1189" ht="15.75" customHeight="1">
      <c r="A1189" s="214"/>
      <c r="B1189" s="214"/>
      <c r="C1189" s="214"/>
      <c r="D1189" s="214"/>
      <c r="E1189" s="214"/>
      <c r="F1189" s="214"/>
      <c r="G1189" s="214"/>
      <c r="H1189" s="214"/>
      <c r="I1189" s="214"/>
      <c r="J1189" s="214"/>
      <c r="K1189" s="214"/>
      <c r="L1189" s="214"/>
      <c r="M1189" s="214"/>
      <c r="N1189" s="214"/>
      <c r="O1189" s="214"/>
      <c r="P1189" s="214"/>
      <c r="Q1189" s="214"/>
      <c r="R1189" s="214"/>
      <c r="S1189" s="214"/>
      <c r="T1189" s="214"/>
      <c r="U1189" s="214"/>
      <c r="V1189" s="214"/>
      <c r="W1189" s="214"/>
      <c r="X1189" s="214"/>
      <c r="Y1189" s="214"/>
      <c r="Z1189" s="214"/>
    </row>
    <row r="1190" ht="15.75" customHeight="1">
      <c r="A1190" s="214"/>
      <c r="B1190" s="214"/>
      <c r="C1190" s="214"/>
      <c r="D1190" s="214"/>
      <c r="E1190" s="214"/>
      <c r="F1190" s="214"/>
      <c r="G1190" s="214"/>
      <c r="H1190" s="214"/>
      <c r="I1190" s="214"/>
      <c r="J1190" s="214"/>
      <c r="K1190" s="214"/>
      <c r="L1190" s="214"/>
      <c r="M1190" s="214"/>
      <c r="N1190" s="214"/>
      <c r="O1190" s="214"/>
      <c r="P1190" s="214"/>
      <c r="Q1190" s="214"/>
      <c r="R1190" s="214"/>
      <c r="S1190" s="214"/>
      <c r="T1190" s="214"/>
      <c r="U1190" s="214"/>
      <c r="V1190" s="214"/>
      <c r="W1190" s="214"/>
      <c r="X1190" s="214"/>
      <c r="Y1190" s="214"/>
      <c r="Z1190" s="214"/>
    </row>
    <row r="1191" ht="15.75" customHeight="1">
      <c r="A1191" s="214"/>
      <c r="B1191" s="214"/>
      <c r="C1191" s="214"/>
      <c r="D1191" s="214"/>
      <c r="E1191" s="214"/>
      <c r="F1191" s="214"/>
      <c r="G1191" s="214"/>
      <c r="H1191" s="214"/>
      <c r="I1191" s="214"/>
      <c r="J1191" s="214"/>
      <c r="K1191" s="214"/>
      <c r="L1191" s="214"/>
      <c r="M1191" s="214"/>
      <c r="N1191" s="214"/>
      <c r="O1191" s="214"/>
      <c r="P1191" s="214"/>
      <c r="Q1191" s="214"/>
      <c r="R1191" s="214"/>
      <c r="S1191" s="214"/>
      <c r="T1191" s="214"/>
      <c r="U1191" s="214"/>
      <c r="V1191" s="214"/>
      <c r="W1191" s="214"/>
      <c r="X1191" s="214"/>
      <c r="Y1191" s="214"/>
      <c r="Z1191" s="214"/>
    </row>
    <row r="1192" ht="15.75" customHeight="1">
      <c r="A1192" s="214"/>
      <c r="B1192" s="214"/>
      <c r="C1192" s="214"/>
      <c r="D1192" s="214"/>
      <c r="E1192" s="214"/>
      <c r="F1192" s="214"/>
      <c r="G1192" s="214"/>
      <c r="H1192" s="214"/>
      <c r="I1192" s="214"/>
      <c r="J1192" s="214"/>
      <c r="K1192" s="214"/>
      <c r="L1192" s="214"/>
      <c r="M1192" s="214"/>
      <c r="N1192" s="214"/>
      <c r="O1192" s="214"/>
      <c r="P1192" s="214"/>
      <c r="Q1192" s="214"/>
      <c r="R1192" s="214"/>
      <c r="S1192" s="214"/>
      <c r="T1192" s="214"/>
      <c r="U1192" s="214"/>
      <c r="V1192" s="214"/>
      <c r="W1192" s="214"/>
      <c r="X1192" s="214"/>
      <c r="Y1192" s="214"/>
      <c r="Z1192" s="214"/>
    </row>
    <row r="1193" ht="15.75" customHeight="1">
      <c r="A1193" s="214"/>
      <c r="B1193" s="214"/>
      <c r="C1193" s="214"/>
      <c r="D1193" s="214"/>
      <c r="E1193" s="214"/>
      <c r="F1193" s="214"/>
      <c r="G1193" s="214"/>
      <c r="H1193" s="214"/>
      <c r="I1193" s="214"/>
      <c r="J1193" s="214"/>
      <c r="K1193" s="214"/>
      <c r="L1193" s="214"/>
      <c r="M1193" s="214"/>
      <c r="N1193" s="214"/>
      <c r="O1193" s="214"/>
      <c r="P1193" s="214"/>
      <c r="Q1193" s="214"/>
      <c r="R1193" s="214"/>
      <c r="S1193" s="214"/>
      <c r="T1193" s="214"/>
      <c r="U1193" s="214"/>
      <c r="V1193" s="214"/>
      <c r="W1193" s="214"/>
      <c r="X1193" s="214"/>
      <c r="Y1193" s="214"/>
      <c r="Z1193" s="214"/>
    </row>
    <row r="1194" ht="15.75" customHeight="1">
      <c r="A1194" s="214"/>
      <c r="B1194" s="214"/>
      <c r="C1194" s="214"/>
      <c r="D1194" s="214"/>
      <c r="E1194" s="214"/>
      <c r="F1194" s="214"/>
      <c r="G1194" s="214"/>
      <c r="H1194" s="214"/>
      <c r="I1194" s="214"/>
      <c r="J1194" s="214"/>
      <c r="K1194" s="214"/>
      <c r="L1194" s="214"/>
      <c r="M1194" s="214"/>
      <c r="N1194" s="214"/>
      <c r="O1194" s="214"/>
      <c r="P1194" s="214"/>
      <c r="Q1194" s="214"/>
      <c r="R1194" s="214"/>
      <c r="S1194" s="214"/>
      <c r="T1194" s="214"/>
      <c r="U1194" s="214"/>
      <c r="V1194" s="214"/>
      <c r="W1194" s="214"/>
      <c r="X1194" s="214"/>
      <c r="Y1194" s="214"/>
      <c r="Z1194" s="214"/>
    </row>
    <row r="1195" ht="15.75" customHeight="1">
      <c r="A1195" s="214"/>
      <c r="B1195" s="214"/>
      <c r="C1195" s="214"/>
      <c r="D1195" s="214"/>
      <c r="E1195" s="214"/>
      <c r="F1195" s="214"/>
      <c r="G1195" s="214"/>
      <c r="H1195" s="214"/>
      <c r="I1195" s="214"/>
      <c r="J1195" s="214"/>
      <c r="K1195" s="214"/>
      <c r="L1195" s="214"/>
      <c r="M1195" s="214"/>
      <c r="N1195" s="214"/>
      <c r="O1195" s="214"/>
      <c r="P1195" s="214"/>
      <c r="Q1195" s="214"/>
      <c r="R1195" s="214"/>
      <c r="S1195" s="214"/>
      <c r="T1195" s="214"/>
      <c r="U1195" s="214"/>
      <c r="V1195" s="214"/>
      <c r="W1195" s="214"/>
      <c r="X1195" s="214"/>
      <c r="Y1195" s="214"/>
      <c r="Z1195" s="214"/>
    </row>
    <row r="1196" ht="15.75" customHeight="1">
      <c r="A1196" s="214"/>
      <c r="B1196" s="214"/>
      <c r="C1196" s="214"/>
      <c r="D1196" s="214"/>
      <c r="E1196" s="214"/>
      <c r="F1196" s="214"/>
      <c r="G1196" s="214"/>
      <c r="H1196" s="214"/>
      <c r="I1196" s="214"/>
      <c r="J1196" s="214"/>
      <c r="K1196" s="214"/>
      <c r="L1196" s="214"/>
      <c r="M1196" s="214"/>
      <c r="N1196" s="214"/>
      <c r="O1196" s="214"/>
      <c r="P1196" s="214"/>
      <c r="Q1196" s="214"/>
      <c r="R1196" s="214"/>
      <c r="S1196" s="214"/>
      <c r="T1196" s="214"/>
      <c r="U1196" s="214"/>
      <c r="V1196" s="214"/>
      <c r="W1196" s="214"/>
      <c r="X1196" s="214"/>
      <c r="Y1196" s="214"/>
      <c r="Z1196" s="214"/>
    </row>
    <row r="1197" ht="15.75" customHeight="1">
      <c r="A1197" s="214"/>
      <c r="B1197" s="214"/>
      <c r="C1197" s="214"/>
      <c r="D1197" s="214"/>
      <c r="E1197" s="214"/>
      <c r="F1197" s="214"/>
      <c r="G1197" s="214"/>
      <c r="H1197" s="214"/>
      <c r="I1197" s="214"/>
      <c r="J1197" s="214"/>
      <c r="K1197" s="214"/>
      <c r="L1197" s="214"/>
      <c r="M1197" s="214"/>
      <c r="N1197" s="214"/>
      <c r="O1197" s="214"/>
      <c r="P1197" s="214"/>
      <c r="Q1197" s="214"/>
      <c r="R1197" s="214"/>
      <c r="S1197" s="214"/>
      <c r="T1197" s="214"/>
      <c r="U1197" s="214"/>
      <c r="V1197" s="214"/>
      <c r="W1197" s="214"/>
      <c r="X1197" s="214"/>
      <c r="Y1197" s="214"/>
      <c r="Z1197" s="214"/>
    </row>
    <row r="1198" ht="15.75" customHeight="1">
      <c r="A1198" s="214"/>
      <c r="B1198" s="214"/>
      <c r="C1198" s="214"/>
      <c r="D1198" s="214"/>
      <c r="E1198" s="214"/>
      <c r="F1198" s="214"/>
      <c r="G1198" s="214"/>
      <c r="H1198" s="214"/>
      <c r="I1198" s="214"/>
      <c r="J1198" s="214"/>
      <c r="K1198" s="214"/>
      <c r="L1198" s="214"/>
      <c r="M1198" s="214"/>
      <c r="N1198" s="214"/>
      <c r="O1198" s="214"/>
      <c r="P1198" s="214"/>
      <c r="Q1198" s="214"/>
      <c r="R1198" s="214"/>
      <c r="S1198" s="214"/>
      <c r="T1198" s="214"/>
      <c r="U1198" s="214"/>
      <c r="V1198" s="214"/>
      <c r="W1198" s="214"/>
      <c r="X1198" s="214"/>
      <c r="Y1198" s="214"/>
      <c r="Z1198" s="214"/>
    </row>
    <row r="1199" ht="15.75" customHeight="1">
      <c r="A1199" s="214"/>
      <c r="B1199" s="214"/>
      <c r="C1199" s="214"/>
      <c r="D1199" s="214"/>
      <c r="E1199" s="214"/>
      <c r="F1199" s="214"/>
      <c r="G1199" s="214"/>
      <c r="H1199" s="214"/>
      <c r="I1199" s="214"/>
      <c r="J1199" s="214"/>
      <c r="K1199" s="214"/>
      <c r="L1199" s="214"/>
      <c r="M1199" s="214"/>
      <c r="N1199" s="214"/>
      <c r="O1199" s="214"/>
      <c r="P1199" s="214"/>
      <c r="Q1199" s="214"/>
      <c r="R1199" s="214"/>
      <c r="S1199" s="214"/>
      <c r="T1199" s="214"/>
      <c r="U1199" s="214"/>
      <c r="V1199" s="214"/>
      <c r="W1199" s="214"/>
      <c r="X1199" s="214"/>
      <c r="Y1199" s="214"/>
      <c r="Z1199" s="214"/>
    </row>
    <row r="1200" ht="15.75" customHeight="1">
      <c r="A1200" s="214"/>
      <c r="B1200" s="214"/>
      <c r="C1200" s="214"/>
      <c r="D1200" s="214"/>
      <c r="E1200" s="214"/>
      <c r="F1200" s="214"/>
      <c r="G1200" s="214"/>
      <c r="H1200" s="214"/>
      <c r="I1200" s="214"/>
      <c r="J1200" s="214"/>
      <c r="K1200" s="214"/>
      <c r="L1200" s="214"/>
      <c r="M1200" s="214"/>
      <c r="N1200" s="214"/>
      <c r="O1200" s="214"/>
      <c r="P1200" s="214"/>
      <c r="Q1200" s="214"/>
      <c r="R1200" s="214"/>
      <c r="S1200" s="214"/>
      <c r="T1200" s="214"/>
      <c r="U1200" s="214"/>
      <c r="V1200" s="214"/>
      <c r="W1200" s="214"/>
      <c r="X1200" s="214"/>
      <c r="Y1200" s="214"/>
      <c r="Z1200" s="214"/>
    </row>
    <row r="1201" ht="15.75" customHeight="1">
      <c r="A1201" s="214"/>
      <c r="B1201" s="214"/>
      <c r="C1201" s="214"/>
      <c r="D1201" s="214"/>
      <c r="E1201" s="214"/>
      <c r="F1201" s="214"/>
      <c r="G1201" s="214"/>
      <c r="H1201" s="214"/>
      <c r="I1201" s="214"/>
      <c r="J1201" s="214"/>
      <c r="K1201" s="214"/>
      <c r="L1201" s="214"/>
      <c r="M1201" s="214"/>
      <c r="N1201" s="214"/>
      <c r="O1201" s="214"/>
      <c r="P1201" s="214"/>
      <c r="Q1201" s="214"/>
      <c r="R1201" s="214"/>
      <c r="S1201" s="214"/>
      <c r="T1201" s="214"/>
      <c r="U1201" s="214"/>
      <c r="V1201" s="214"/>
      <c r="W1201" s="214"/>
      <c r="X1201" s="214"/>
      <c r="Y1201" s="214"/>
      <c r="Z1201" s="214"/>
    </row>
    <row r="1202" ht="15.75" customHeight="1">
      <c r="A1202" s="214"/>
      <c r="B1202" s="214"/>
      <c r="C1202" s="214"/>
      <c r="D1202" s="214"/>
      <c r="E1202" s="214"/>
      <c r="F1202" s="214"/>
      <c r="G1202" s="214"/>
      <c r="H1202" s="214"/>
      <c r="I1202" s="214"/>
      <c r="J1202" s="214"/>
      <c r="K1202" s="214"/>
      <c r="L1202" s="214"/>
      <c r="M1202" s="214"/>
      <c r="N1202" s="214"/>
      <c r="O1202" s="214"/>
      <c r="P1202" s="214"/>
      <c r="Q1202" s="214"/>
      <c r="R1202" s="214"/>
      <c r="S1202" s="214"/>
      <c r="T1202" s="214"/>
      <c r="U1202" s="214"/>
      <c r="V1202" s="214"/>
      <c r="W1202" s="214"/>
      <c r="X1202" s="214"/>
      <c r="Y1202" s="214"/>
      <c r="Z1202" s="214"/>
    </row>
    <row r="1203" ht="15.75" customHeight="1">
      <c r="A1203" s="214"/>
      <c r="B1203" s="214"/>
      <c r="C1203" s="214"/>
      <c r="D1203" s="214"/>
      <c r="E1203" s="214"/>
      <c r="F1203" s="214"/>
      <c r="G1203" s="214"/>
      <c r="H1203" s="214"/>
      <c r="I1203" s="214"/>
      <c r="J1203" s="214"/>
      <c r="K1203" s="214"/>
      <c r="L1203" s="214"/>
      <c r="M1203" s="214"/>
      <c r="N1203" s="214"/>
      <c r="O1203" s="214"/>
      <c r="P1203" s="214"/>
      <c r="Q1203" s="214"/>
      <c r="R1203" s="214"/>
      <c r="S1203" s="214"/>
      <c r="T1203" s="214"/>
      <c r="U1203" s="214"/>
      <c r="V1203" s="214"/>
      <c r="W1203" s="214"/>
      <c r="X1203" s="214"/>
      <c r="Y1203" s="214"/>
      <c r="Z1203" s="214"/>
    </row>
    <row r="1204" ht="15.75" customHeight="1">
      <c r="A1204" s="214"/>
      <c r="B1204" s="214"/>
      <c r="C1204" s="214"/>
      <c r="D1204" s="214"/>
      <c r="E1204" s="214"/>
      <c r="F1204" s="214"/>
      <c r="G1204" s="214"/>
      <c r="H1204" s="214"/>
      <c r="I1204" s="214"/>
      <c r="J1204" s="214"/>
      <c r="K1204" s="214"/>
      <c r="L1204" s="214"/>
      <c r="M1204" s="214"/>
      <c r="N1204" s="214"/>
      <c r="O1204" s="214"/>
      <c r="P1204" s="214"/>
      <c r="Q1204" s="214"/>
      <c r="R1204" s="214"/>
      <c r="S1204" s="214"/>
      <c r="T1204" s="214"/>
      <c r="U1204" s="214"/>
      <c r="V1204" s="214"/>
      <c r="W1204" s="214"/>
      <c r="X1204" s="214"/>
      <c r="Y1204" s="214"/>
      <c r="Z1204" s="214"/>
    </row>
    <row r="1205" ht="15.75" customHeight="1">
      <c r="A1205" s="214"/>
      <c r="B1205" s="214"/>
      <c r="C1205" s="214"/>
      <c r="D1205" s="214"/>
      <c r="E1205" s="214"/>
      <c r="F1205" s="214"/>
      <c r="G1205" s="214"/>
      <c r="H1205" s="214"/>
      <c r="I1205" s="214"/>
      <c r="J1205" s="214"/>
      <c r="K1205" s="214"/>
      <c r="L1205" s="214"/>
      <c r="M1205" s="214"/>
      <c r="N1205" s="214"/>
      <c r="O1205" s="214"/>
      <c r="P1205" s="214"/>
      <c r="Q1205" s="214"/>
      <c r="R1205" s="214"/>
      <c r="S1205" s="214"/>
      <c r="T1205" s="214"/>
      <c r="U1205" s="214"/>
      <c r="V1205" s="214"/>
      <c r="W1205" s="214"/>
      <c r="X1205" s="214"/>
      <c r="Y1205" s="214"/>
      <c r="Z1205" s="214"/>
    </row>
    <row r="1206" ht="15.75" customHeight="1">
      <c r="A1206" s="214"/>
      <c r="B1206" s="214"/>
      <c r="C1206" s="214"/>
      <c r="D1206" s="214"/>
      <c r="E1206" s="214"/>
      <c r="F1206" s="214"/>
      <c r="G1206" s="214"/>
      <c r="H1206" s="214"/>
      <c r="I1206" s="214"/>
      <c r="J1206" s="214"/>
      <c r="K1206" s="214"/>
      <c r="L1206" s="214"/>
      <c r="M1206" s="214"/>
      <c r="N1206" s="214"/>
      <c r="O1206" s="214"/>
      <c r="P1206" s="214"/>
      <c r="Q1206" s="214"/>
      <c r="R1206" s="214"/>
      <c r="S1206" s="214"/>
      <c r="T1206" s="214"/>
      <c r="U1206" s="214"/>
      <c r="V1206" s="214"/>
      <c r="W1206" s="214"/>
      <c r="X1206" s="214"/>
      <c r="Y1206" s="214"/>
      <c r="Z1206" s="214"/>
    </row>
    <row r="1207" ht="15.75" customHeight="1">
      <c r="A1207" s="214"/>
      <c r="B1207" s="214"/>
      <c r="C1207" s="214"/>
      <c r="D1207" s="214"/>
      <c r="E1207" s="214"/>
      <c r="F1207" s="214"/>
      <c r="G1207" s="214"/>
      <c r="H1207" s="214"/>
      <c r="I1207" s="214"/>
      <c r="J1207" s="214"/>
      <c r="K1207" s="214"/>
      <c r="L1207" s="214"/>
      <c r="M1207" s="214"/>
      <c r="N1207" s="214"/>
      <c r="O1207" s="214"/>
      <c r="P1207" s="214"/>
      <c r="Q1207" s="214"/>
      <c r="R1207" s="214"/>
      <c r="S1207" s="214"/>
      <c r="T1207" s="214"/>
      <c r="U1207" s="214"/>
      <c r="V1207" s="214"/>
      <c r="W1207" s="214"/>
      <c r="X1207" s="214"/>
      <c r="Y1207" s="214"/>
      <c r="Z1207" s="214"/>
    </row>
    <row r="1208" ht="15.75" customHeight="1">
      <c r="A1208" s="214"/>
      <c r="B1208" s="214"/>
      <c r="C1208" s="214"/>
      <c r="D1208" s="214"/>
      <c r="E1208" s="214"/>
      <c r="F1208" s="214"/>
      <c r="G1208" s="214"/>
      <c r="H1208" s="214"/>
      <c r="I1208" s="214"/>
      <c r="J1208" s="214"/>
      <c r="K1208" s="214"/>
      <c r="L1208" s="214"/>
      <c r="M1208" s="214"/>
      <c r="N1208" s="214"/>
      <c r="O1208" s="214"/>
      <c r="P1208" s="214"/>
      <c r="Q1208" s="214"/>
      <c r="R1208" s="214"/>
      <c r="S1208" s="214"/>
      <c r="T1208" s="214"/>
      <c r="U1208" s="214"/>
      <c r="V1208" s="214"/>
      <c r="W1208" s="214"/>
      <c r="X1208" s="214"/>
      <c r="Y1208" s="214"/>
      <c r="Z1208" s="214"/>
    </row>
    <row r="1209" ht="15.75" customHeight="1">
      <c r="A1209" s="214"/>
      <c r="B1209" s="214"/>
      <c r="C1209" s="214"/>
      <c r="D1209" s="214"/>
      <c r="E1209" s="214"/>
      <c r="F1209" s="214"/>
      <c r="G1209" s="214"/>
      <c r="H1209" s="214"/>
      <c r="I1209" s="214"/>
      <c r="J1209" s="214"/>
      <c r="K1209" s="214"/>
      <c r="L1209" s="214"/>
      <c r="M1209" s="214"/>
      <c r="N1209" s="214"/>
      <c r="O1209" s="214"/>
      <c r="P1209" s="214"/>
      <c r="Q1209" s="214"/>
      <c r="R1209" s="214"/>
      <c r="S1209" s="214"/>
      <c r="T1209" s="214"/>
      <c r="U1209" s="214"/>
      <c r="V1209" s="214"/>
      <c r="W1209" s="214"/>
      <c r="X1209" s="214"/>
      <c r="Y1209" s="214"/>
      <c r="Z1209" s="214"/>
    </row>
    <row r="1210" ht="15.75" customHeight="1">
      <c r="A1210" s="214"/>
      <c r="B1210" s="214"/>
      <c r="C1210" s="214"/>
      <c r="D1210" s="214"/>
      <c r="E1210" s="214"/>
      <c r="F1210" s="214"/>
      <c r="G1210" s="214"/>
      <c r="H1210" s="214"/>
      <c r="I1210" s="214"/>
      <c r="J1210" s="214"/>
      <c r="K1210" s="214"/>
      <c r="L1210" s="214"/>
      <c r="M1210" s="214"/>
      <c r="N1210" s="214"/>
      <c r="O1210" s="214"/>
      <c r="P1210" s="214"/>
      <c r="Q1210" s="214"/>
      <c r="R1210" s="214"/>
      <c r="S1210" s="214"/>
      <c r="T1210" s="214"/>
      <c r="U1210" s="214"/>
      <c r="V1210" s="214"/>
      <c r="W1210" s="214"/>
      <c r="X1210" s="214"/>
      <c r="Y1210" s="214"/>
      <c r="Z1210" s="214"/>
    </row>
    <row r="1211" ht="15.75" customHeight="1">
      <c r="A1211" s="214"/>
      <c r="B1211" s="214"/>
      <c r="C1211" s="214"/>
      <c r="D1211" s="214"/>
      <c r="E1211" s="214"/>
      <c r="F1211" s="214"/>
      <c r="G1211" s="214"/>
      <c r="H1211" s="214"/>
      <c r="I1211" s="214"/>
      <c r="J1211" s="214"/>
      <c r="K1211" s="214"/>
      <c r="L1211" s="214"/>
      <c r="M1211" s="214"/>
      <c r="N1211" s="214"/>
      <c r="O1211" s="214"/>
      <c r="P1211" s="214"/>
      <c r="Q1211" s="214"/>
      <c r="R1211" s="214"/>
      <c r="S1211" s="214"/>
      <c r="T1211" s="214"/>
      <c r="U1211" s="214"/>
      <c r="V1211" s="214"/>
      <c r="W1211" s="214"/>
      <c r="X1211" s="214"/>
      <c r="Y1211" s="214"/>
      <c r="Z1211" s="214"/>
    </row>
    <row r="1212" ht="15.75" customHeight="1">
      <c r="A1212" s="214"/>
      <c r="B1212" s="214"/>
      <c r="C1212" s="214"/>
      <c r="D1212" s="214"/>
      <c r="E1212" s="214"/>
      <c r="F1212" s="214"/>
      <c r="G1212" s="214"/>
      <c r="H1212" s="214"/>
      <c r="I1212" s="214"/>
      <c r="J1212" s="214"/>
      <c r="K1212" s="214"/>
      <c r="L1212" s="214"/>
      <c r="M1212" s="214"/>
      <c r="N1212" s="214"/>
      <c r="O1212" s="214"/>
      <c r="P1212" s="214"/>
      <c r="Q1212" s="214"/>
      <c r="R1212" s="214"/>
      <c r="S1212" s="214"/>
      <c r="T1212" s="214"/>
      <c r="U1212" s="214"/>
      <c r="V1212" s="214"/>
      <c r="W1212" s="214"/>
      <c r="X1212" s="214"/>
      <c r="Y1212" s="214"/>
      <c r="Z1212" s="214"/>
    </row>
    <row r="1213" ht="15.75" customHeight="1">
      <c r="A1213" s="214"/>
      <c r="B1213" s="214"/>
      <c r="C1213" s="214"/>
      <c r="D1213" s="214"/>
      <c r="E1213" s="214"/>
      <c r="F1213" s="214"/>
      <c r="G1213" s="214"/>
      <c r="H1213" s="214"/>
      <c r="I1213" s="214"/>
      <c r="J1213" s="214"/>
      <c r="K1213" s="214"/>
      <c r="L1213" s="214"/>
      <c r="M1213" s="214"/>
      <c r="N1213" s="214"/>
      <c r="O1213" s="214"/>
      <c r="P1213" s="214"/>
      <c r="Q1213" s="214"/>
      <c r="R1213" s="214"/>
      <c r="S1213" s="214"/>
      <c r="T1213" s="214"/>
      <c r="U1213" s="214"/>
      <c r="V1213" s="214"/>
      <c r="W1213" s="214"/>
      <c r="X1213" s="214"/>
      <c r="Y1213" s="214"/>
      <c r="Z1213" s="214"/>
    </row>
    <row r="1214" ht="15.75" customHeight="1">
      <c r="A1214" s="214"/>
      <c r="B1214" s="214"/>
      <c r="C1214" s="214"/>
      <c r="D1214" s="214"/>
      <c r="E1214" s="214"/>
      <c r="F1214" s="214"/>
      <c r="G1214" s="214"/>
      <c r="H1214" s="214"/>
      <c r="I1214" s="214"/>
      <c r="J1214" s="214"/>
      <c r="K1214" s="214"/>
      <c r="L1214" s="214"/>
      <c r="M1214" s="214"/>
      <c r="N1214" s="214"/>
      <c r="O1214" s="214"/>
      <c r="P1214" s="214"/>
      <c r="Q1214" s="214"/>
      <c r="R1214" s="214"/>
      <c r="S1214" s="214"/>
      <c r="T1214" s="214"/>
      <c r="U1214" s="214"/>
      <c r="V1214" s="214"/>
      <c r="W1214" s="214"/>
      <c r="X1214" s="214"/>
      <c r="Y1214" s="214"/>
      <c r="Z1214" s="214"/>
    </row>
    <row r="1215" ht="15.75" customHeight="1">
      <c r="A1215" s="214"/>
      <c r="B1215" s="214"/>
      <c r="C1215" s="214"/>
      <c r="D1215" s="214"/>
      <c r="E1215" s="214"/>
      <c r="F1215" s="214"/>
      <c r="G1215" s="214"/>
      <c r="H1215" s="214"/>
      <c r="I1215" s="214"/>
      <c r="J1215" s="214"/>
      <c r="K1215" s="214"/>
      <c r="L1215" s="214"/>
      <c r="M1215" s="214"/>
      <c r="N1215" s="214"/>
      <c r="O1215" s="214"/>
      <c r="P1215" s="214"/>
      <c r="Q1215" s="214"/>
      <c r="R1215" s="214"/>
      <c r="S1215" s="214"/>
      <c r="T1215" s="214"/>
      <c r="U1215" s="214"/>
      <c r="V1215" s="214"/>
      <c r="W1215" s="214"/>
      <c r="X1215" s="214"/>
      <c r="Y1215" s="214"/>
      <c r="Z1215" s="214"/>
    </row>
    <row r="1216" ht="15.75" customHeight="1">
      <c r="A1216" s="214"/>
      <c r="B1216" s="214"/>
      <c r="C1216" s="214"/>
      <c r="D1216" s="214"/>
      <c r="E1216" s="214"/>
      <c r="F1216" s="214"/>
      <c r="G1216" s="214"/>
      <c r="H1216" s="214"/>
      <c r="I1216" s="214"/>
      <c r="J1216" s="214"/>
      <c r="K1216" s="214"/>
      <c r="L1216" s="214"/>
      <c r="M1216" s="214"/>
      <c r="N1216" s="214"/>
      <c r="O1216" s="214"/>
      <c r="P1216" s="214"/>
      <c r="Q1216" s="214"/>
      <c r="R1216" s="214"/>
      <c r="S1216" s="214"/>
      <c r="T1216" s="214"/>
      <c r="U1216" s="214"/>
      <c r="V1216" s="214"/>
      <c r="W1216" s="214"/>
      <c r="X1216" s="214"/>
      <c r="Y1216" s="214"/>
      <c r="Z1216" s="214"/>
    </row>
    <row r="1217" ht="15.75" customHeight="1">
      <c r="A1217" s="214"/>
      <c r="B1217" s="214"/>
      <c r="C1217" s="214"/>
      <c r="D1217" s="214"/>
      <c r="E1217" s="214"/>
      <c r="F1217" s="214"/>
      <c r="G1217" s="214"/>
      <c r="H1217" s="214"/>
      <c r="I1217" s="214"/>
      <c r="J1217" s="214"/>
      <c r="K1217" s="214"/>
      <c r="L1217" s="214"/>
      <c r="M1217" s="214"/>
      <c r="N1217" s="214"/>
      <c r="O1217" s="214"/>
      <c r="P1217" s="214"/>
      <c r="Q1217" s="214"/>
      <c r="R1217" s="214"/>
      <c r="S1217" s="214"/>
      <c r="T1217" s="214"/>
      <c r="U1217" s="214"/>
      <c r="V1217" s="214"/>
      <c r="W1217" s="214"/>
      <c r="X1217" s="214"/>
      <c r="Y1217" s="214"/>
      <c r="Z1217" s="214"/>
    </row>
    <row r="1218" ht="15.75" customHeight="1">
      <c r="A1218" s="214"/>
      <c r="B1218" s="214"/>
      <c r="C1218" s="214"/>
      <c r="D1218" s="214"/>
      <c r="E1218" s="214"/>
      <c r="F1218" s="214"/>
      <c r="G1218" s="214"/>
      <c r="H1218" s="214"/>
      <c r="I1218" s="214"/>
      <c r="J1218" s="214"/>
      <c r="K1218" s="214"/>
      <c r="L1218" s="214"/>
      <c r="M1218" s="214"/>
      <c r="N1218" s="214"/>
      <c r="O1218" s="214"/>
      <c r="P1218" s="214"/>
      <c r="Q1218" s="214"/>
      <c r="R1218" s="214"/>
      <c r="S1218" s="214"/>
      <c r="T1218" s="214"/>
      <c r="U1218" s="214"/>
      <c r="V1218" s="214"/>
      <c r="W1218" s="214"/>
      <c r="X1218" s="214"/>
      <c r="Y1218" s="214"/>
      <c r="Z1218" s="214"/>
    </row>
    <row r="1219" ht="15.75" customHeight="1">
      <c r="A1219" s="214"/>
      <c r="B1219" s="214"/>
      <c r="C1219" s="214"/>
      <c r="D1219" s="214"/>
      <c r="E1219" s="214"/>
      <c r="F1219" s="214"/>
      <c r="G1219" s="214"/>
      <c r="H1219" s="214"/>
      <c r="I1219" s="214"/>
      <c r="J1219" s="214"/>
      <c r="K1219" s="214"/>
      <c r="L1219" s="214"/>
      <c r="M1219" s="214"/>
      <c r="N1219" s="214"/>
      <c r="O1219" s="214"/>
      <c r="P1219" s="214"/>
      <c r="Q1219" s="214"/>
      <c r="R1219" s="214"/>
      <c r="S1219" s="214"/>
      <c r="T1219" s="214"/>
      <c r="U1219" s="214"/>
      <c r="V1219" s="214"/>
      <c r="W1219" s="214"/>
      <c r="X1219" s="214"/>
      <c r="Y1219" s="214"/>
      <c r="Z1219" s="214"/>
    </row>
    <row r="1220" ht="15.75" customHeight="1">
      <c r="A1220" s="214"/>
      <c r="B1220" s="214"/>
      <c r="C1220" s="214"/>
      <c r="D1220" s="214"/>
      <c r="E1220" s="214"/>
      <c r="F1220" s="214"/>
      <c r="G1220" s="214"/>
      <c r="H1220" s="214"/>
      <c r="I1220" s="214"/>
      <c r="J1220" s="214"/>
      <c r="K1220" s="214"/>
      <c r="L1220" s="214"/>
      <c r="M1220" s="214"/>
      <c r="N1220" s="214"/>
      <c r="O1220" s="214"/>
      <c r="P1220" s="214"/>
      <c r="Q1220" s="214"/>
      <c r="R1220" s="214"/>
      <c r="S1220" s="214"/>
      <c r="T1220" s="214"/>
      <c r="U1220" s="214"/>
      <c r="V1220" s="214"/>
      <c r="W1220" s="214"/>
      <c r="X1220" s="214"/>
      <c r="Y1220" s="214"/>
      <c r="Z1220" s="214"/>
    </row>
    <row r="1221" ht="15.75" customHeight="1">
      <c r="A1221" s="214"/>
      <c r="B1221" s="214"/>
      <c r="C1221" s="214"/>
      <c r="D1221" s="214"/>
      <c r="E1221" s="214"/>
      <c r="F1221" s="214"/>
      <c r="G1221" s="214"/>
      <c r="H1221" s="214"/>
      <c r="I1221" s="214"/>
      <c r="J1221" s="214"/>
      <c r="K1221" s="214"/>
      <c r="L1221" s="214"/>
      <c r="M1221" s="214"/>
      <c r="N1221" s="214"/>
      <c r="O1221" s="214"/>
      <c r="P1221" s="214"/>
      <c r="Q1221" s="214"/>
      <c r="R1221" s="214"/>
      <c r="S1221" s="214"/>
      <c r="T1221" s="214"/>
      <c r="U1221" s="214"/>
      <c r="V1221" s="214"/>
      <c r="W1221" s="214"/>
      <c r="X1221" s="214"/>
      <c r="Y1221" s="214"/>
      <c r="Z1221" s="214"/>
    </row>
    <row r="1222" ht="15.75" customHeight="1">
      <c r="A1222" s="214"/>
      <c r="B1222" s="214"/>
      <c r="C1222" s="214"/>
      <c r="D1222" s="214"/>
      <c r="E1222" s="214"/>
      <c r="F1222" s="214"/>
      <c r="G1222" s="214"/>
      <c r="H1222" s="214"/>
      <c r="I1222" s="214"/>
      <c r="J1222" s="214"/>
      <c r="K1222" s="214"/>
      <c r="L1222" s="214"/>
      <c r="M1222" s="214"/>
      <c r="N1222" s="214"/>
      <c r="O1222" s="214"/>
      <c r="P1222" s="214"/>
      <c r="Q1222" s="214"/>
      <c r="R1222" s="214"/>
      <c r="S1222" s="214"/>
      <c r="T1222" s="214"/>
      <c r="U1222" s="214"/>
      <c r="V1222" s="214"/>
      <c r="W1222" s="214"/>
      <c r="X1222" s="214"/>
      <c r="Y1222" s="214"/>
      <c r="Z1222" s="214"/>
    </row>
    <row r="1223" ht="15.75" customHeight="1">
      <c r="A1223" s="214"/>
      <c r="B1223" s="214"/>
      <c r="C1223" s="214"/>
      <c r="D1223" s="214"/>
      <c r="E1223" s="214"/>
      <c r="F1223" s="214"/>
      <c r="G1223" s="214"/>
      <c r="H1223" s="214"/>
      <c r="I1223" s="214"/>
      <c r="J1223" s="214"/>
      <c r="K1223" s="214"/>
      <c r="L1223" s="214"/>
      <c r="M1223" s="214"/>
      <c r="N1223" s="214"/>
      <c r="O1223" s="214"/>
      <c r="P1223" s="214"/>
      <c r="Q1223" s="214"/>
      <c r="R1223" s="214"/>
      <c r="S1223" s="214"/>
      <c r="T1223" s="214"/>
      <c r="U1223" s="214"/>
      <c r="V1223" s="214"/>
      <c r="W1223" s="214"/>
      <c r="X1223" s="214"/>
      <c r="Y1223" s="214"/>
      <c r="Z1223" s="214"/>
    </row>
    <row r="1224" ht="15.75" customHeight="1">
      <c r="A1224" s="214"/>
      <c r="B1224" s="214"/>
      <c r="C1224" s="214"/>
      <c r="D1224" s="214"/>
      <c r="E1224" s="214"/>
      <c r="F1224" s="214"/>
      <c r="G1224" s="214"/>
      <c r="H1224" s="214"/>
      <c r="I1224" s="214"/>
      <c r="J1224" s="214"/>
      <c r="K1224" s="214"/>
      <c r="L1224" s="214"/>
      <c r="M1224" s="214"/>
      <c r="N1224" s="214"/>
      <c r="O1224" s="214"/>
      <c r="P1224" s="214"/>
      <c r="Q1224" s="214"/>
      <c r="R1224" s="214"/>
      <c r="S1224" s="214"/>
      <c r="T1224" s="214"/>
      <c r="U1224" s="214"/>
      <c r="V1224" s="214"/>
      <c r="W1224" s="214"/>
      <c r="X1224" s="214"/>
      <c r="Y1224" s="214"/>
      <c r="Z1224" s="214"/>
    </row>
    <row r="1225" ht="15.75" customHeight="1">
      <c r="A1225" s="214"/>
      <c r="B1225" s="214"/>
      <c r="C1225" s="214"/>
      <c r="D1225" s="214"/>
      <c r="E1225" s="214"/>
      <c r="F1225" s="214"/>
      <c r="G1225" s="214"/>
      <c r="H1225" s="214"/>
      <c r="I1225" s="214"/>
      <c r="J1225" s="214"/>
      <c r="K1225" s="214"/>
      <c r="L1225" s="214"/>
      <c r="M1225" s="214"/>
      <c r="N1225" s="214"/>
      <c r="O1225" s="214"/>
      <c r="P1225" s="214"/>
      <c r="Q1225" s="214"/>
      <c r="R1225" s="214"/>
      <c r="S1225" s="214"/>
      <c r="T1225" s="214"/>
      <c r="U1225" s="214"/>
      <c r="V1225" s="214"/>
      <c r="W1225" s="214"/>
      <c r="X1225" s="214"/>
      <c r="Y1225" s="214"/>
      <c r="Z1225" s="214"/>
    </row>
    <row r="1226" ht="15.75" customHeight="1">
      <c r="A1226" s="214"/>
      <c r="B1226" s="214"/>
      <c r="C1226" s="214"/>
      <c r="D1226" s="214"/>
      <c r="E1226" s="214"/>
      <c r="F1226" s="214"/>
      <c r="G1226" s="214"/>
      <c r="H1226" s="214"/>
      <c r="I1226" s="214"/>
      <c r="J1226" s="214"/>
      <c r="K1226" s="214"/>
      <c r="L1226" s="214"/>
      <c r="M1226" s="214"/>
      <c r="N1226" s="214"/>
      <c r="O1226" s="214"/>
      <c r="P1226" s="214"/>
      <c r="Q1226" s="214"/>
      <c r="R1226" s="214"/>
      <c r="S1226" s="214"/>
      <c r="T1226" s="214"/>
      <c r="U1226" s="214"/>
      <c r="V1226" s="214"/>
      <c r="W1226" s="214"/>
      <c r="X1226" s="214"/>
      <c r="Y1226" s="214"/>
      <c r="Z1226" s="214"/>
    </row>
    <row r="1227" ht="15.75" customHeight="1">
      <c r="A1227" s="214"/>
      <c r="B1227" s="214"/>
      <c r="C1227" s="214"/>
      <c r="D1227" s="214"/>
      <c r="E1227" s="214"/>
      <c r="F1227" s="214"/>
      <c r="G1227" s="214"/>
      <c r="H1227" s="214"/>
      <c r="I1227" s="214"/>
      <c r="J1227" s="214"/>
      <c r="K1227" s="214"/>
      <c r="L1227" s="214"/>
      <c r="M1227" s="214"/>
      <c r="N1227" s="214"/>
      <c r="O1227" s="214"/>
      <c r="P1227" s="214"/>
      <c r="Q1227" s="214"/>
      <c r="R1227" s="214"/>
      <c r="S1227" s="214"/>
      <c r="T1227" s="214"/>
      <c r="U1227" s="214"/>
      <c r="V1227" s="214"/>
      <c r="W1227" s="214"/>
      <c r="X1227" s="214"/>
      <c r="Y1227" s="214"/>
      <c r="Z1227" s="214"/>
    </row>
    <row r="1228" ht="15.75" customHeight="1">
      <c r="A1228" s="214"/>
      <c r="B1228" s="214"/>
      <c r="C1228" s="214"/>
      <c r="D1228" s="214"/>
      <c r="E1228" s="214"/>
      <c r="F1228" s="214"/>
      <c r="G1228" s="214"/>
      <c r="H1228" s="214"/>
      <c r="I1228" s="214"/>
      <c r="J1228" s="214"/>
      <c r="K1228" s="214"/>
      <c r="L1228" s="214"/>
      <c r="M1228" s="214"/>
      <c r="N1228" s="214"/>
      <c r="O1228" s="214"/>
      <c r="P1228" s="214"/>
      <c r="Q1228" s="214"/>
      <c r="R1228" s="214"/>
      <c r="S1228" s="214"/>
      <c r="T1228" s="214"/>
      <c r="U1228" s="214"/>
      <c r="V1228" s="214"/>
      <c r="W1228" s="214"/>
      <c r="X1228" s="214"/>
      <c r="Y1228" s="214"/>
      <c r="Z1228" s="214"/>
    </row>
    <row r="1229" ht="15.75" customHeight="1">
      <c r="A1229" s="214"/>
      <c r="B1229" s="214"/>
      <c r="C1229" s="214"/>
      <c r="D1229" s="214"/>
      <c r="E1229" s="214"/>
      <c r="F1229" s="214"/>
      <c r="G1229" s="214"/>
      <c r="H1229" s="214"/>
      <c r="I1229" s="214"/>
      <c r="J1229" s="214"/>
      <c r="K1229" s="214"/>
      <c r="L1229" s="214"/>
      <c r="M1229" s="214"/>
      <c r="N1229" s="214"/>
      <c r="O1229" s="214"/>
      <c r="P1229" s="214"/>
      <c r="Q1229" s="214"/>
      <c r="R1229" s="214"/>
      <c r="S1229" s="214"/>
      <c r="T1229" s="214"/>
      <c r="U1229" s="214"/>
      <c r="V1229" s="214"/>
      <c r="W1229" s="214"/>
      <c r="X1229" s="214"/>
      <c r="Y1229" s="214"/>
      <c r="Z1229" s="214"/>
    </row>
    <row r="1230" ht="15.75" customHeight="1">
      <c r="A1230" s="214"/>
      <c r="B1230" s="214"/>
      <c r="C1230" s="214"/>
      <c r="D1230" s="214"/>
      <c r="E1230" s="214"/>
      <c r="F1230" s="214"/>
      <c r="G1230" s="214"/>
      <c r="H1230" s="214"/>
      <c r="I1230" s="214"/>
      <c r="J1230" s="214"/>
      <c r="K1230" s="214"/>
      <c r="L1230" s="214"/>
      <c r="M1230" s="214"/>
      <c r="N1230" s="214"/>
      <c r="O1230" s="214"/>
      <c r="P1230" s="214"/>
      <c r="Q1230" s="214"/>
      <c r="R1230" s="214"/>
      <c r="S1230" s="214"/>
      <c r="T1230" s="214"/>
      <c r="U1230" s="214"/>
      <c r="V1230" s="214"/>
      <c r="W1230" s="214"/>
      <c r="X1230" s="214"/>
      <c r="Y1230" s="214"/>
      <c r="Z1230" s="214"/>
    </row>
    <row r="1231" ht="15.75" customHeight="1">
      <c r="A1231" s="214"/>
      <c r="B1231" s="214"/>
      <c r="C1231" s="214"/>
      <c r="D1231" s="214"/>
      <c r="E1231" s="214"/>
      <c r="F1231" s="214"/>
      <c r="G1231" s="214"/>
      <c r="H1231" s="214"/>
      <c r="I1231" s="214"/>
      <c r="J1231" s="214"/>
      <c r="K1231" s="214"/>
      <c r="L1231" s="214"/>
      <c r="M1231" s="214"/>
      <c r="N1231" s="214"/>
      <c r="O1231" s="214"/>
      <c r="P1231" s="214"/>
      <c r="Q1231" s="214"/>
      <c r="R1231" s="214"/>
      <c r="S1231" s="214"/>
      <c r="T1231" s="214"/>
      <c r="U1231" s="214"/>
      <c r="V1231" s="214"/>
      <c r="W1231" s="214"/>
      <c r="X1231" s="214"/>
      <c r="Y1231" s="214"/>
      <c r="Z1231" s="214"/>
    </row>
    <row r="1232" ht="15.75" customHeight="1">
      <c r="A1232" s="214"/>
      <c r="B1232" s="214"/>
      <c r="C1232" s="214"/>
      <c r="D1232" s="214"/>
      <c r="E1232" s="214"/>
      <c r="F1232" s="214"/>
      <c r="G1232" s="214"/>
      <c r="H1232" s="214"/>
      <c r="I1232" s="214"/>
      <c r="J1232" s="214"/>
      <c r="K1232" s="214"/>
      <c r="L1232" s="214"/>
      <c r="M1232" s="214"/>
      <c r="N1232" s="214"/>
      <c r="O1232" s="214"/>
      <c r="P1232" s="214"/>
      <c r="Q1232" s="214"/>
      <c r="R1232" s="214"/>
      <c r="S1232" s="214"/>
      <c r="T1232" s="214"/>
      <c r="U1232" s="214"/>
      <c r="V1232" s="214"/>
      <c r="W1232" s="214"/>
      <c r="X1232" s="214"/>
      <c r="Y1232" s="214"/>
      <c r="Z1232" s="214"/>
    </row>
    <row r="1233" ht="15.75" customHeight="1">
      <c r="A1233" s="214"/>
      <c r="B1233" s="214"/>
      <c r="C1233" s="214"/>
      <c r="D1233" s="214"/>
      <c r="E1233" s="214"/>
      <c r="F1233" s="214"/>
      <c r="G1233" s="214"/>
      <c r="H1233" s="214"/>
      <c r="I1233" s="214"/>
      <c r="J1233" s="214"/>
      <c r="K1233" s="214"/>
      <c r="L1233" s="214"/>
      <c r="M1233" s="214"/>
      <c r="N1233" s="214"/>
      <c r="O1233" s="214"/>
      <c r="P1233" s="214"/>
      <c r="Q1233" s="214"/>
      <c r="R1233" s="214"/>
      <c r="S1233" s="214"/>
      <c r="T1233" s="214"/>
      <c r="U1233" s="214"/>
      <c r="V1233" s="214"/>
      <c r="W1233" s="214"/>
      <c r="X1233" s="214"/>
      <c r="Y1233" s="214"/>
      <c r="Z1233" s="214"/>
    </row>
    <row r="1234" ht="15.75" customHeight="1">
      <c r="A1234" s="214"/>
      <c r="B1234" s="214"/>
      <c r="C1234" s="214"/>
      <c r="D1234" s="214"/>
      <c r="E1234" s="214"/>
      <c r="F1234" s="214"/>
      <c r="G1234" s="214"/>
      <c r="H1234" s="214"/>
      <c r="I1234" s="214"/>
      <c r="J1234" s="214"/>
      <c r="K1234" s="214"/>
      <c r="L1234" s="214"/>
      <c r="M1234" s="214"/>
      <c r="N1234" s="214"/>
      <c r="O1234" s="214"/>
      <c r="P1234" s="214"/>
      <c r="Q1234" s="214"/>
      <c r="R1234" s="214"/>
      <c r="S1234" s="214"/>
      <c r="T1234" s="214"/>
      <c r="U1234" s="214"/>
      <c r="V1234" s="214"/>
      <c r="W1234" s="214"/>
      <c r="X1234" s="214"/>
      <c r="Y1234" s="214"/>
      <c r="Z1234" s="214"/>
    </row>
    <row r="1235" ht="15.75" customHeight="1">
      <c r="A1235" s="214"/>
      <c r="B1235" s="214"/>
      <c r="C1235" s="214"/>
      <c r="D1235" s="214"/>
      <c r="E1235" s="214"/>
      <c r="F1235" s="214"/>
      <c r="G1235" s="214"/>
      <c r="H1235" s="214"/>
      <c r="I1235" s="214"/>
      <c r="J1235" s="214"/>
      <c r="K1235" s="214"/>
      <c r="L1235" s="214"/>
      <c r="M1235" s="214"/>
      <c r="N1235" s="214"/>
      <c r="O1235" s="214"/>
      <c r="P1235" s="214"/>
      <c r="Q1235" s="214"/>
      <c r="R1235" s="214"/>
      <c r="S1235" s="214"/>
      <c r="T1235" s="214"/>
      <c r="U1235" s="214"/>
      <c r="V1235" s="214"/>
      <c r="W1235" s="214"/>
      <c r="X1235" s="214"/>
      <c r="Y1235" s="214"/>
      <c r="Z1235" s="214"/>
    </row>
    <row r="1236" ht="15.75" customHeight="1">
      <c r="A1236" s="214"/>
      <c r="B1236" s="214"/>
      <c r="C1236" s="214"/>
      <c r="D1236" s="214"/>
      <c r="E1236" s="214"/>
      <c r="F1236" s="214"/>
      <c r="G1236" s="214"/>
      <c r="H1236" s="214"/>
      <c r="I1236" s="214"/>
      <c r="J1236" s="214"/>
      <c r="K1236" s="214"/>
      <c r="L1236" s="214"/>
      <c r="M1236" s="214"/>
      <c r="N1236" s="214"/>
      <c r="O1236" s="214"/>
      <c r="P1236" s="214"/>
      <c r="Q1236" s="214"/>
      <c r="R1236" s="214"/>
      <c r="S1236" s="214"/>
      <c r="T1236" s="214"/>
      <c r="U1236" s="214"/>
      <c r="V1236" s="214"/>
      <c r="W1236" s="214"/>
      <c r="X1236" s="214"/>
      <c r="Y1236" s="214"/>
      <c r="Z1236" s="214"/>
    </row>
    <row r="1237" ht="15.75" customHeight="1">
      <c r="A1237" s="214"/>
      <c r="B1237" s="214"/>
      <c r="C1237" s="214"/>
      <c r="D1237" s="214"/>
      <c r="E1237" s="214"/>
      <c r="F1237" s="214"/>
      <c r="G1237" s="214"/>
      <c r="H1237" s="214"/>
      <c r="I1237" s="214"/>
      <c r="J1237" s="214"/>
      <c r="K1237" s="214"/>
      <c r="L1237" s="214"/>
      <c r="M1237" s="214"/>
      <c r="N1237" s="214"/>
      <c r="O1237" s="214"/>
      <c r="P1237" s="214"/>
      <c r="Q1237" s="214"/>
      <c r="R1237" s="214"/>
      <c r="S1237" s="214"/>
      <c r="T1237" s="214"/>
      <c r="U1237" s="214"/>
      <c r="V1237" s="214"/>
      <c r="W1237" s="214"/>
      <c r="X1237" s="214"/>
      <c r="Y1237" s="214"/>
      <c r="Z1237" s="214"/>
    </row>
    <row r="1238" ht="15.75" customHeight="1">
      <c r="A1238" s="214"/>
      <c r="B1238" s="214"/>
      <c r="C1238" s="214"/>
      <c r="D1238" s="214"/>
      <c r="E1238" s="214"/>
      <c r="F1238" s="214"/>
      <c r="G1238" s="214"/>
      <c r="H1238" s="214"/>
      <c r="I1238" s="214"/>
      <c r="J1238" s="214"/>
      <c r="K1238" s="214"/>
      <c r="L1238" s="214"/>
      <c r="M1238" s="214"/>
      <c r="N1238" s="214"/>
      <c r="O1238" s="214"/>
      <c r="P1238" s="214"/>
      <c r="Q1238" s="214"/>
      <c r="R1238" s="214"/>
      <c r="S1238" s="214"/>
      <c r="T1238" s="214"/>
      <c r="U1238" s="214"/>
      <c r="V1238" s="214"/>
      <c r="W1238" s="214"/>
      <c r="X1238" s="214"/>
      <c r="Y1238" s="214"/>
      <c r="Z1238" s="214"/>
    </row>
    <row r="1239" ht="15.75" customHeight="1">
      <c r="A1239" s="214"/>
      <c r="B1239" s="214"/>
      <c r="C1239" s="214"/>
      <c r="D1239" s="214"/>
      <c r="E1239" s="214"/>
      <c r="F1239" s="214"/>
      <c r="G1239" s="214"/>
      <c r="H1239" s="214"/>
      <c r="I1239" s="214"/>
      <c r="J1239" s="214"/>
      <c r="K1239" s="214"/>
      <c r="L1239" s="214"/>
      <c r="M1239" s="214"/>
      <c r="N1239" s="214"/>
      <c r="O1239" s="214"/>
      <c r="P1239" s="214"/>
      <c r="Q1239" s="214"/>
      <c r="R1239" s="214"/>
      <c r="S1239" s="214"/>
      <c r="T1239" s="214"/>
      <c r="U1239" s="214"/>
      <c r="V1239" s="214"/>
      <c r="W1239" s="214"/>
      <c r="X1239" s="214"/>
      <c r="Y1239" s="214"/>
      <c r="Z1239" s="214"/>
    </row>
    <row r="1240" ht="15.75" customHeight="1">
      <c r="A1240" s="214"/>
      <c r="B1240" s="214"/>
      <c r="C1240" s="214"/>
      <c r="D1240" s="214"/>
      <c r="E1240" s="214"/>
      <c r="F1240" s="214"/>
      <c r="G1240" s="214"/>
      <c r="H1240" s="214"/>
      <c r="I1240" s="214"/>
      <c r="J1240" s="214"/>
      <c r="K1240" s="214"/>
      <c r="L1240" s="214"/>
      <c r="M1240" s="214"/>
      <c r="N1240" s="214"/>
      <c r="O1240" s="214"/>
      <c r="P1240" s="214"/>
      <c r="Q1240" s="214"/>
      <c r="R1240" s="214"/>
      <c r="S1240" s="214"/>
      <c r="T1240" s="214"/>
      <c r="U1240" s="214"/>
      <c r="V1240" s="214"/>
      <c r="W1240" s="214"/>
      <c r="X1240" s="214"/>
      <c r="Y1240" s="214"/>
      <c r="Z1240" s="214"/>
    </row>
    <row r="1241" ht="15.75" customHeight="1">
      <c r="A1241" s="214"/>
      <c r="B1241" s="214"/>
      <c r="C1241" s="214"/>
      <c r="D1241" s="214"/>
      <c r="E1241" s="214"/>
      <c r="F1241" s="214"/>
      <c r="G1241" s="214"/>
      <c r="H1241" s="214"/>
      <c r="I1241" s="214"/>
      <c r="J1241" s="214"/>
      <c r="K1241" s="214"/>
      <c r="L1241" s="214"/>
      <c r="M1241" s="214"/>
      <c r="N1241" s="214"/>
      <c r="O1241" s="214"/>
      <c r="P1241" s="214"/>
      <c r="Q1241" s="214"/>
      <c r="R1241" s="214"/>
      <c r="S1241" s="214"/>
      <c r="T1241" s="214"/>
      <c r="U1241" s="214"/>
      <c r="V1241" s="214"/>
      <c r="W1241" s="214"/>
      <c r="X1241" s="214"/>
      <c r="Y1241" s="214"/>
      <c r="Z1241" s="214"/>
    </row>
    <row r="1242" ht="15.75" customHeight="1">
      <c r="A1242" s="214"/>
      <c r="B1242" s="214"/>
      <c r="C1242" s="214"/>
      <c r="D1242" s="214"/>
      <c r="E1242" s="214"/>
      <c r="F1242" s="214"/>
      <c r="G1242" s="214"/>
      <c r="H1242" s="214"/>
      <c r="I1242" s="214"/>
      <c r="J1242" s="214"/>
      <c r="K1242" s="214"/>
      <c r="L1242" s="214"/>
      <c r="M1242" s="214"/>
      <c r="N1242" s="214"/>
      <c r="O1242" s="214"/>
      <c r="P1242" s="214"/>
      <c r="Q1242" s="214"/>
      <c r="R1242" s="214"/>
      <c r="S1242" s="214"/>
      <c r="T1242" s="214"/>
      <c r="U1242" s="214"/>
      <c r="V1242" s="214"/>
      <c r="W1242" s="214"/>
      <c r="X1242" s="214"/>
      <c r="Y1242" s="214"/>
      <c r="Z1242" s="214"/>
    </row>
    <row r="1243" ht="15.75" customHeight="1">
      <c r="A1243" s="214"/>
      <c r="B1243" s="214"/>
      <c r="C1243" s="214"/>
      <c r="D1243" s="214"/>
      <c r="E1243" s="214"/>
      <c r="F1243" s="214"/>
      <c r="G1243" s="214"/>
      <c r="H1243" s="214"/>
      <c r="I1243" s="214"/>
      <c r="J1243" s="214"/>
      <c r="K1243" s="214"/>
      <c r="L1243" s="214"/>
      <c r="M1243" s="214"/>
      <c r="N1243" s="214"/>
      <c r="O1243" s="214"/>
      <c r="P1243" s="214"/>
      <c r="Q1243" s="214"/>
      <c r="R1243" s="214"/>
      <c r="S1243" s="214"/>
      <c r="T1243" s="214"/>
      <c r="U1243" s="214"/>
      <c r="V1243" s="214"/>
      <c r="W1243" s="214"/>
      <c r="X1243" s="214"/>
      <c r="Y1243" s="214"/>
      <c r="Z1243" s="214"/>
    </row>
    <row r="1244" ht="15.75" customHeight="1">
      <c r="A1244" s="214"/>
      <c r="B1244" s="214"/>
      <c r="C1244" s="214"/>
      <c r="D1244" s="214"/>
      <c r="E1244" s="214"/>
      <c r="F1244" s="214"/>
      <c r="G1244" s="214"/>
      <c r="H1244" s="214"/>
      <c r="I1244" s="214"/>
      <c r="J1244" s="214"/>
      <c r="K1244" s="214"/>
      <c r="L1244" s="214"/>
      <c r="M1244" s="214"/>
      <c r="N1244" s="214"/>
      <c r="O1244" s="214"/>
      <c r="P1244" s="214"/>
      <c r="Q1244" s="214"/>
      <c r="R1244" s="214"/>
      <c r="S1244" s="214"/>
      <c r="T1244" s="214"/>
      <c r="U1244" s="214"/>
      <c r="V1244" s="214"/>
      <c r="W1244" s="214"/>
      <c r="X1244" s="214"/>
      <c r="Y1244" s="214"/>
      <c r="Z1244" s="214"/>
    </row>
    <row r="1245" ht="15.75" customHeight="1">
      <c r="A1245" s="214"/>
      <c r="B1245" s="214"/>
      <c r="C1245" s="214"/>
      <c r="D1245" s="214"/>
      <c r="E1245" s="214"/>
      <c r="F1245" s="214"/>
      <c r="G1245" s="214"/>
      <c r="H1245" s="214"/>
      <c r="I1245" s="214"/>
      <c r="J1245" s="214"/>
      <c r="K1245" s="214"/>
      <c r="L1245" s="214"/>
      <c r="M1245" s="214"/>
      <c r="N1245" s="214"/>
      <c r="O1245" s="214"/>
      <c r="P1245" s="214"/>
      <c r="Q1245" s="214"/>
      <c r="R1245" s="214"/>
      <c r="S1245" s="214"/>
      <c r="T1245" s="214"/>
      <c r="U1245" s="214"/>
      <c r="V1245" s="214"/>
      <c r="W1245" s="214"/>
      <c r="X1245" s="214"/>
      <c r="Y1245" s="214"/>
      <c r="Z1245" s="214"/>
    </row>
    <row r="1246" ht="15.75" customHeight="1">
      <c r="A1246" s="214"/>
      <c r="B1246" s="214"/>
      <c r="C1246" s="214"/>
      <c r="D1246" s="214"/>
      <c r="E1246" s="214"/>
      <c r="F1246" s="214"/>
      <c r="G1246" s="214"/>
      <c r="H1246" s="214"/>
      <c r="I1246" s="214"/>
      <c r="J1246" s="214"/>
      <c r="K1246" s="214"/>
      <c r="L1246" s="214"/>
      <c r="M1246" s="214"/>
      <c r="N1246" s="214"/>
      <c r="O1246" s="214"/>
      <c r="P1246" s="214"/>
      <c r="Q1246" s="214"/>
      <c r="R1246" s="214"/>
      <c r="S1246" s="214"/>
      <c r="T1246" s="214"/>
      <c r="U1246" s="214"/>
      <c r="V1246" s="214"/>
      <c r="W1246" s="214"/>
      <c r="X1246" s="214"/>
      <c r="Y1246" s="214"/>
      <c r="Z1246" s="214"/>
    </row>
    <row r="1247" ht="15.75" customHeight="1">
      <c r="A1247" s="214"/>
      <c r="B1247" s="214"/>
      <c r="C1247" s="214"/>
      <c r="D1247" s="214"/>
      <c r="E1247" s="214"/>
      <c r="F1247" s="214"/>
      <c r="G1247" s="214"/>
      <c r="H1247" s="214"/>
      <c r="I1247" s="214"/>
      <c r="J1247" s="214"/>
      <c r="K1247" s="214"/>
      <c r="L1247" s="214"/>
      <c r="M1247" s="214"/>
      <c r="N1247" s="214"/>
      <c r="O1247" s="214"/>
      <c r="P1247" s="214"/>
      <c r="Q1247" s="214"/>
      <c r="R1247" s="214"/>
      <c r="S1247" s="214"/>
      <c r="T1247" s="214"/>
      <c r="U1247" s="214"/>
      <c r="V1247" s="214"/>
      <c r="W1247" s="214"/>
      <c r="X1247" s="214"/>
      <c r="Y1247" s="214"/>
      <c r="Z1247" s="214"/>
    </row>
    <row r="1248" ht="15.75" customHeight="1">
      <c r="A1248" s="214"/>
      <c r="B1248" s="214"/>
      <c r="C1248" s="214"/>
      <c r="D1248" s="214"/>
      <c r="E1248" s="214"/>
      <c r="F1248" s="214"/>
      <c r="G1248" s="214"/>
      <c r="H1248" s="214"/>
      <c r="I1248" s="214"/>
      <c r="J1248" s="214"/>
      <c r="K1248" s="214"/>
      <c r="L1248" s="214"/>
      <c r="M1248" s="214"/>
      <c r="N1248" s="214"/>
      <c r="O1248" s="214"/>
      <c r="P1248" s="214"/>
      <c r="Q1248" s="214"/>
      <c r="R1248" s="214"/>
      <c r="S1248" s="214"/>
      <c r="T1248" s="214"/>
      <c r="U1248" s="214"/>
      <c r="V1248" s="214"/>
      <c r="W1248" s="214"/>
      <c r="X1248" s="214"/>
      <c r="Y1248" s="214"/>
      <c r="Z1248" s="214"/>
    </row>
    <row r="1249" ht="15.75" customHeight="1">
      <c r="A1249" s="214"/>
      <c r="B1249" s="214"/>
      <c r="C1249" s="214"/>
      <c r="D1249" s="214"/>
      <c r="E1249" s="214"/>
      <c r="F1249" s="214"/>
      <c r="G1249" s="214"/>
      <c r="H1249" s="214"/>
      <c r="I1249" s="214"/>
      <c r="J1249" s="214"/>
      <c r="K1249" s="214"/>
      <c r="L1249" s="214"/>
      <c r="M1249" s="214"/>
      <c r="N1249" s="214"/>
      <c r="O1249" s="214"/>
      <c r="P1249" s="214"/>
      <c r="Q1249" s="214"/>
      <c r="R1249" s="214"/>
      <c r="S1249" s="214"/>
      <c r="T1249" s="214"/>
      <c r="U1249" s="214"/>
      <c r="V1249" s="214"/>
      <c r="W1249" s="214"/>
      <c r="X1249" s="214"/>
      <c r="Y1249" s="214"/>
      <c r="Z1249" s="214"/>
    </row>
    <row r="1250" ht="15.75" customHeight="1">
      <c r="A1250" s="214"/>
      <c r="B1250" s="214"/>
      <c r="C1250" s="214"/>
      <c r="D1250" s="214"/>
      <c r="E1250" s="214"/>
      <c r="F1250" s="214"/>
      <c r="G1250" s="214"/>
      <c r="H1250" s="214"/>
      <c r="I1250" s="214"/>
      <c r="J1250" s="214"/>
      <c r="K1250" s="214"/>
      <c r="L1250" s="214"/>
      <c r="M1250" s="214"/>
      <c r="N1250" s="214"/>
      <c r="O1250" s="214"/>
      <c r="P1250" s="214"/>
      <c r="Q1250" s="214"/>
      <c r="R1250" s="214"/>
      <c r="S1250" s="214"/>
      <c r="T1250" s="214"/>
      <c r="U1250" s="214"/>
      <c r="V1250" s="214"/>
      <c r="W1250" s="214"/>
      <c r="X1250" s="214"/>
      <c r="Y1250" s="214"/>
      <c r="Z1250" s="214"/>
    </row>
    <row r="1251" ht="15.75" customHeight="1">
      <c r="A1251" s="214"/>
      <c r="B1251" s="214"/>
      <c r="C1251" s="214"/>
      <c r="D1251" s="214"/>
      <c r="E1251" s="214"/>
      <c r="F1251" s="214"/>
      <c r="G1251" s="214"/>
      <c r="H1251" s="214"/>
      <c r="I1251" s="214"/>
      <c r="J1251" s="214"/>
      <c r="K1251" s="214"/>
      <c r="L1251" s="214"/>
      <c r="M1251" s="214"/>
      <c r="N1251" s="214"/>
      <c r="O1251" s="214"/>
      <c r="P1251" s="214"/>
      <c r="Q1251" s="214"/>
      <c r="R1251" s="214"/>
      <c r="S1251" s="214"/>
      <c r="T1251" s="214"/>
      <c r="U1251" s="214"/>
      <c r="V1251" s="214"/>
      <c r="W1251" s="214"/>
      <c r="X1251" s="214"/>
      <c r="Y1251" s="214"/>
      <c r="Z1251" s="214"/>
    </row>
    <row r="1252" ht="15.75" customHeight="1">
      <c r="A1252" s="214"/>
      <c r="B1252" s="214"/>
      <c r="C1252" s="214"/>
      <c r="D1252" s="214"/>
      <c r="E1252" s="214"/>
      <c r="F1252" s="214"/>
      <c r="G1252" s="214"/>
      <c r="H1252" s="214"/>
      <c r="I1252" s="214"/>
      <c r="J1252" s="214"/>
      <c r="K1252" s="214"/>
      <c r="L1252" s="214"/>
      <c r="M1252" s="214"/>
      <c r="N1252" s="214"/>
      <c r="O1252" s="214"/>
      <c r="P1252" s="214"/>
      <c r="Q1252" s="214"/>
      <c r="R1252" s="214"/>
      <c r="S1252" s="214"/>
      <c r="T1252" s="214"/>
      <c r="U1252" s="214"/>
      <c r="V1252" s="214"/>
      <c r="W1252" s="214"/>
      <c r="X1252" s="214"/>
      <c r="Y1252" s="214"/>
      <c r="Z1252" s="214"/>
    </row>
    <row r="1253" ht="15.75" customHeight="1">
      <c r="A1253" s="214"/>
      <c r="B1253" s="214"/>
      <c r="C1253" s="214"/>
      <c r="D1253" s="214"/>
      <c r="E1253" s="214"/>
      <c r="F1253" s="214"/>
      <c r="G1253" s="214"/>
      <c r="H1253" s="214"/>
      <c r="I1253" s="214"/>
      <c r="J1253" s="214"/>
      <c r="K1253" s="214"/>
      <c r="L1253" s="214"/>
      <c r="M1253" s="214"/>
      <c r="N1253" s="214"/>
      <c r="O1253" s="214"/>
      <c r="P1253" s="214"/>
      <c r="Q1253" s="214"/>
      <c r="R1253" s="214"/>
      <c r="S1253" s="214"/>
      <c r="T1253" s="214"/>
      <c r="U1253" s="214"/>
      <c r="V1253" s="214"/>
      <c r="W1253" s="214"/>
      <c r="X1253" s="214"/>
      <c r="Y1253" s="214"/>
      <c r="Z1253" s="214"/>
    </row>
    <row r="1254" ht="15.75" customHeight="1">
      <c r="A1254" s="214"/>
      <c r="B1254" s="214"/>
      <c r="C1254" s="214"/>
      <c r="D1254" s="214"/>
      <c r="E1254" s="214"/>
      <c r="F1254" s="214"/>
      <c r="G1254" s="214"/>
      <c r="H1254" s="214"/>
      <c r="I1254" s="214"/>
      <c r="J1254" s="214"/>
      <c r="K1254" s="214"/>
      <c r="L1254" s="214"/>
      <c r="M1254" s="214"/>
      <c r="N1254" s="214"/>
      <c r="O1254" s="214"/>
      <c r="P1254" s="214"/>
      <c r="Q1254" s="214"/>
      <c r="R1254" s="214"/>
      <c r="S1254" s="214"/>
      <c r="T1254" s="214"/>
      <c r="U1254" s="214"/>
      <c r="V1254" s="214"/>
      <c r="W1254" s="214"/>
      <c r="X1254" s="214"/>
      <c r="Y1254" s="214"/>
      <c r="Z1254" s="214"/>
    </row>
    <row r="1255" ht="15.75" customHeight="1">
      <c r="A1255" s="214"/>
      <c r="B1255" s="214"/>
      <c r="C1255" s="214"/>
      <c r="D1255" s="214"/>
      <c r="E1255" s="214"/>
      <c r="F1255" s="214"/>
      <c r="G1255" s="214"/>
      <c r="H1255" s="214"/>
      <c r="I1255" s="214"/>
      <c r="J1255" s="214"/>
      <c r="K1255" s="214"/>
      <c r="L1255" s="214"/>
      <c r="M1255" s="214"/>
      <c r="N1255" s="214"/>
      <c r="O1255" s="214"/>
      <c r="P1255" s="214"/>
      <c r="Q1255" s="214"/>
      <c r="R1255" s="214"/>
      <c r="S1255" s="214"/>
      <c r="T1255" s="214"/>
      <c r="U1255" s="214"/>
      <c r="V1255" s="214"/>
      <c r="W1255" s="214"/>
      <c r="X1255" s="214"/>
      <c r="Y1255" s="214"/>
      <c r="Z1255" s="214"/>
    </row>
    <row r="1256" ht="15.75" customHeight="1">
      <c r="A1256" s="214"/>
      <c r="B1256" s="214"/>
      <c r="C1256" s="214"/>
      <c r="D1256" s="214"/>
      <c r="E1256" s="214"/>
      <c r="F1256" s="214"/>
      <c r="G1256" s="214"/>
      <c r="H1256" s="214"/>
      <c r="I1256" s="214"/>
      <c r="J1256" s="214"/>
      <c r="K1256" s="214"/>
      <c r="L1256" s="214"/>
      <c r="M1256" s="214"/>
      <c r="N1256" s="214"/>
      <c r="O1256" s="214"/>
      <c r="P1256" s="214"/>
      <c r="Q1256" s="214"/>
      <c r="R1256" s="214"/>
      <c r="S1256" s="214"/>
      <c r="T1256" s="214"/>
      <c r="U1256" s="214"/>
      <c r="V1256" s="214"/>
      <c r="W1256" s="214"/>
      <c r="X1256" s="214"/>
      <c r="Y1256" s="214"/>
      <c r="Z1256" s="214"/>
    </row>
    <row r="1257" ht="15.75" customHeight="1">
      <c r="A1257" s="214"/>
      <c r="B1257" s="214"/>
      <c r="C1257" s="214"/>
      <c r="D1257" s="214"/>
      <c r="E1257" s="214"/>
      <c r="F1257" s="214"/>
      <c r="G1257" s="214"/>
      <c r="H1257" s="214"/>
      <c r="I1257" s="214"/>
      <c r="J1257" s="214"/>
      <c r="K1257" s="214"/>
      <c r="L1257" s="214"/>
      <c r="M1257" s="214"/>
      <c r="N1257" s="214"/>
      <c r="O1257" s="214"/>
      <c r="P1257" s="214"/>
      <c r="Q1257" s="214"/>
      <c r="R1257" s="214"/>
      <c r="S1257" s="214"/>
      <c r="T1257" s="214"/>
      <c r="U1257" s="214"/>
      <c r="V1257" s="214"/>
      <c r="W1257" s="214"/>
      <c r="X1257" s="214"/>
      <c r="Y1257" s="214"/>
      <c r="Z1257" s="214"/>
    </row>
    <row r="1258" ht="15.75" customHeight="1">
      <c r="A1258" s="214"/>
      <c r="B1258" s="214"/>
      <c r="C1258" s="214"/>
      <c r="D1258" s="214"/>
      <c r="E1258" s="214"/>
      <c r="F1258" s="214"/>
      <c r="G1258" s="214"/>
      <c r="H1258" s="214"/>
      <c r="I1258" s="214"/>
      <c r="J1258" s="214"/>
      <c r="K1258" s="214"/>
      <c r="L1258" s="214"/>
      <c r="M1258" s="214"/>
      <c r="N1258" s="214"/>
      <c r="O1258" s="214"/>
      <c r="P1258" s="214"/>
      <c r="Q1258" s="214"/>
      <c r="R1258" s="214"/>
      <c r="S1258" s="214"/>
      <c r="T1258" s="214"/>
      <c r="U1258" s="214"/>
      <c r="V1258" s="214"/>
      <c r="W1258" s="214"/>
      <c r="X1258" s="214"/>
      <c r="Y1258" s="214"/>
      <c r="Z1258" s="214"/>
    </row>
    <row r="1259" ht="15.75" customHeight="1">
      <c r="A1259" s="214"/>
      <c r="B1259" s="214"/>
      <c r="C1259" s="214"/>
      <c r="D1259" s="214"/>
      <c r="E1259" s="214"/>
      <c r="F1259" s="214"/>
      <c r="G1259" s="214"/>
      <c r="H1259" s="214"/>
      <c r="I1259" s="214"/>
      <c r="J1259" s="214"/>
      <c r="K1259" s="214"/>
      <c r="L1259" s="214"/>
      <c r="M1259" s="214"/>
      <c r="N1259" s="214"/>
      <c r="O1259" s="214"/>
      <c r="P1259" s="214"/>
      <c r="Q1259" s="214"/>
      <c r="R1259" s="214"/>
      <c r="S1259" s="214"/>
      <c r="T1259" s="214"/>
      <c r="U1259" s="214"/>
      <c r="V1259" s="214"/>
      <c r="W1259" s="214"/>
      <c r="X1259" s="214"/>
      <c r="Y1259" s="214"/>
      <c r="Z1259" s="214"/>
    </row>
    <row r="1260" ht="15.75" customHeight="1">
      <c r="A1260" s="214"/>
      <c r="B1260" s="214"/>
      <c r="C1260" s="214"/>
      <c r="D1260" s="214"/>
      <c r="E1260" s="214"/>
      <c r="F1260" s="214"/>
      <c r="G1260" s="214"/>
      <c r="H1260" s="214"/>
      <c r="I1260" s="214"/>
      <c r="J1260" s="214"/>
      <c r="K1260" s="214"/>
      <c r="L1260" s="214"/>
      <c r="M1260" s="214"/>
      <c r="N1260" s="214"/>
      <c r="O1260" s="214"/>
      <c r="P1260" s="214"/>
      <c r="Q1260" s="214"/>
      <c r="R1260" s="214"/>
      <c r="S1260" s="214"/>
      <c r="T1260" s="214"/>
      <c r="U1260" s="214"/>
      <c r="V1260" s="214"/>
      <c r="W1260" s="214"/>
      <c r="X1260" s="214"/>
      <c r="Y1260" s="214"/>
      <c r="Z1260" s="214"/>
    </row>
    <row r="1261" ht="15.75" customHeight="1">
      <c r="A1261" s="214"/>
      <c r="B1261" s="214"/>
      <c r="C1261" s="214"/>
      <c r="D1261" s="214"/>
      <c r="E1261" s="214"/>
      <c r="F1261" s="214"/>
      <c r="G1261" s="214"/>
      <c r="H1261" s="214"/>
      <c r="I1261" s="214"/>
      <c r="J1261" s="214"/>
      <c r="K1261" s="214"/>
      <c r="L1261" s="214"/>
      <c r="M1261" s="214"/>
      <c r="N1261" s="214"/>
      <c r="O1261" s="214"/>
      <c r="P1261" s="214"/>
      <c r="Q1261" s="214"/>
      <c r="R1261" s="214"/>
      <c r="S1261" s="214"/>
      <c r="T1261" s="214"/>
      <c r="U1261" s="214"/>
      <c r="V1261" s="214"/>
      <c r="W1261" s="214"/>
      <c r="X1261" s="214"/>
      <c r="Y1261" s="214"/>
      <c r="Z1261" s="214"/>
    </row>
    <row r="1262" ht="15.75" customHeight="1">
      <c r="A1262" s="214"/>
      <c r="B1262" s="214"/>
      <c r="C1262" s="214"/>
      <c r="D1262" s="214"/>
      <c r="E1262" s="214"/>
      <c r="F1262" s="214"/>
      <c r="G1262" s="214"/>
      <c r="H1262" s="214"/>
      <c r="I1262" s="214"/>
      <c r="J1262" s="214"/>
      <c r="K1262" s="214"/>
      <c r="L1262" s="214"/>
      <c r="M1262" s="214"/>
      <c r="N1262" s="214"/>
      <c r="O1262" s="214"/>
      <c r="P1262" s="214"/>
      <c r="Q1262" s="214"/>
      <c r="R1262" s="214"/>
      <c r="S1262" s="214"/>
      <c r="T1262" s="214"/>
      <c r="U1262" s="214"/>
      <c r="V1262" s="214"/>
      <c r="W1262" s="214"/>
      <c r="X1262" s="214"/>
      <c r="Y1262" s="214"/>
      <c r="Z1262" s="214"/>
    </row>
    <row r="1263" ht="15.75" customHeight="1">
      <c r="A1263" s="214"/>
      <c r="B1263" s="214"/>
      <c r="C1263" s="214"/>
      <c r="D1263" s="214"/>
      <c r="E1263" s="214"/>
      <c r="F1263" s="214"/>
      <c r="G1263" s="214"/>
      <c r="H1263" s="214"/>
      <c r="I1263" s="214"/>
      <c r="J1263" s="214"/>
      <c r="K1263" s="214"/>
      <c r="L1263" s="214"/>
      <c r="M1263" s="214"/>
      <c r="N1263" s="214"/>
      <c r="O1263" s="214"/>
      <c r="P1263" s="214"/>
      <c r="Q1263" s="214"/>
      <c r="R1263" s="214"/>
      <c r="S1263" s="214"/>
      <c r="T1263" s="214"/>
      <c r="U1263" s="214"/>
      <c r="V1263" s="214"/>
      <c r="W1263" s="214"/>
      <c r="X1263" s="214"/>
      <c r="Y1263" s="214"/>
      <c r="Z1263" s="214"/>
    </row>
    <row r="1264" ht="15.75" customHeight="1">
      <c r="A1264" s="214"/>
      <c r="B1264" s="214"/>
      <c r="C1264" s="214"/>
      <c r="D1264" s="214"/>
      <c r="E1264" s="214"/>
      <c r="F1264" s="214"/>
      <c r="G1264" s="214"/>
      <c r="H1264" s="214"/>
      <c r="I1264" s="214"/>
      <c r="J1264" s="214"/>
      <c r="K1264" s="214"/>
      <c r="L1264" s="214"/>
      <c r="M1264" s="214"/>
      <c r="N1264" s="214"/>
      <c r="O1264" s="214"/>
      <c r="P1264" s="214"/>
      <c r="Q1264" s="214"/>
      <c r="R1264" s="214"/>
      <c r="S1264" s="214"/>
      <c r="T1264" s="214"/>
      <c r="U1264" s="214"/>
      <c r="V1264" s="214"/>
      <c r="W1264" s="214"/>
      <c r="X1264" s="214"/>
      <c r="Y1264" s="214"/>
      <c r="Z1264" s="214"/>
    </row>
    <row r="1265" ht="15.75" customHeight="1">
      <c r="A1265" s="214"/>
      <c r="B1265" s="214"/>
      <c r="C1265" s="214"/>
      <c r="D1265" s="214"/>
      <c r="E1265" s="214"/>
      <c r="F1265" s="214"/>
      <c r="G1265" s="214"/>
      <c r="H1265" s="214"/>
      <c r="I1265" s="214"/>
      <c r="J1265" s="214"/>
      <c r="K1265" s="214"/>
      <c r="L1265" s="214"/>
      <c r="M1265" s="214"/>
      <c r="N1265" s="214"/>
      <c r="O1265" s="214"/>
      <c r="P1265" s="214"/>
      <c r="Q1265" s="214"/>
      <c r="R1265" s="214"/>
      <c r="S1265" s="214"/>
      <c r="T1265" s="214"/>
      <c r="U1265" s="214"/>
      <c r="V1265" s="214"/>
      <c r="W1265" s="214"/>
      <c r="X1265" s="214"/>
      <c r="Y1265" s="214"/>
      <c r="Z1265" s="214"/>
    </row>
    <row r="1266" ht="15.75" customHeight="1">
      <c r="A1266" s="214"/>
      <c r="B1266" s="214"/>
      <c r="C1266" s="214"/>
      <c r="D1266" s="214"/>
      <c r="E1266" s="214"/>
      <c r="F1266" s="214"/>
      <c r="G1266" s="214"/>
      <c r="H1266" s="214"/>
      <c r="I1266" s="214"/>
      <c r="J1266" s="214"/>
      <c r="K1266" s="214"/>
      <c r="L1266" s="214"/>
      <c r="M1266" s="214"/>
      <c r="N1266" s="214"/>
      <c r="O1266" s="214"/>
      <c r="P1266" s="214"/>
      <c r="Q1266" s="214"/>
      <c r="R1266" s="214"/>
      <c r="S1266" s="214"/>
      <c r="T1266" s="214"/>
      <c r="U1266" s="214"/>
      <c r="V1266" s="214"/>
      <c r="W1266" s="214"/>
      <c r="X1266" s="214"/>
      <c r="Y1266" s="214"/>
      <c r="Z1266" s="214"/>
    </row>
    <row r="1267" ht="15.75" customHeight="1">
      <c r="A1267" s="214"/>
      <c r="B1267" s="214"/>
      <c r="C1267" s="214"/>
      <c r="D1267" s="214"/>
      <c r="E1267" s="214"/>
      <c r="F1267" s="214"/>
      <c r="G1267" s="214"/>
      <c r="H1267" s="214"/>
      <c r="I1267" s="214"/>
      <c r="J1267" s="214"/>
      <c r="K1267" s="214"/>
      <c r="L1267" s="214"/>
      <c r="M1267" s="214"/>
      <c r="N1267" s="214"/>
      <c r="O1267" s="214"/>
      <c r="P1267" s="214"/>
      <c r="Q1267" s="214"/>
      <c r="R1267" s="214"/>
      <c r="S1267" s="214"/>
      <c r="T1267" s="214"/>
      <c r="U1267" s="214"/>
      <c r="V1267" s="214"/>
      <c r="W1267" s="214"/>
      <c r="X1267" s="214"/>
      <c r="Y1267" s="214"/>
      <c r="Z1267" s="214"/>
    </row>
    <row r="1268" ht="15.75" customHeight="1">
      <c r="A1268" s="214"/>
      <c r="B1268" s="214"/>
      <c r="C1268" s="214"/>
      <c r="D1268" s="214"/>
      <c r="E1268" s="214"/>
      <c r="F1268" s="214"/>
      <c r="G1268" s="214"/>
      <c r="H1268" s="214"/>
      <c r="I1268" s="214"/>
      <c r="J1268" s="214"/>
      <c r="K1268" s="214"/>
      <c r="L1268" s="214"/>
      <c r="M1268" s="214"/>
      <c r="N1268" s="214"/>
      <c r="O1268" s="214"/>
      <c r="P1268" s="214"/>
      <c r="Q1268" s="214"/>
      <c r="R1268" s="214"/>
      <c r="S1268" s="214"/>
      <c r="T1268" s="214"/>
      <c r="U1268" s="214"/>
      <c r="V1268" s="214"/>
      <c r="W1268" s="214"/>
      <c r="X1268" s="214"/>
      <c r="Y1268" s="214"/>
      <c r="Z1268" s="214"/>
    </row>
    <row r="1269" ht="15.75" customHeight="1">
      <c r="A1269" s="214"/>
      <c r="B1269" s="214"/>
      <c r="C1269" s="214"/>
      <c r="D1269" s="214"/>
      <c r="E1269" s="214"/>
      <c r="F1269" s="214"/>
      <c r="G1269" s="214"/>
      <c r="H1269" s="214"/>
      <c r="I1269" s="214"/>
      <c r="J1269" s="214"/>
      <c r="K1269" s="214"/>
      <c r="L1269" s="214"/>
      <c r="M1269" s="214"/>
      <c r="N1269" s="214"/>
      <c r="O1269" s="214"/>
      <c r="P1269" s="214"/>
      <c r="Q1269" s="214"/>
      <c r="R1269" s="214"/>
      <c r="S1269" s="214"/>
      <c r="T1269" s="214"/>
      <c r="U1269" s="214"/>
      <c r="V1269" s="214"/>
      <c r="W1269" s="214"/>
      <c r="X1269" s="214"/>
      <c r="Y1269" s="214"/>
      <c r="Z1269" s="214"/>
    </row>
    <row r="1270" ht="15.75" customHeight="1">
      <c r="A1270" s="214"/>
      <c r="B1270" s="214"/>
      <c r="C1270" s="214"/>
      <c r="D1270" s="214"/>
      <c r="E1270" s="214"/>
      <c r="F1270" s="214"/>
      <c r="G1270" s="214"/>
      <c r="H1270" s="214"/>
      <c r="I1270" s="214"/>
      <c r="J1270" s="214"/>
      <c r="K1270" s="214"/>
      <c r="L1270" s="214"/>
      <c r="M1270" s="214"/>
      <c r="N1270" s="214"/>
      <c r="O1270" s="214"/>
      <c r="P1270" s="214"/>
      <c r="Q1270" s="214"/>
      <c r="R1270" s="214"/>
      <c r="S1270" s="214"/>
      <c r="T1270" s="214"/>
      <c r="U1270" s="214"/>
      <c r="V1270" s="214"/>
      <c r="W1270" s="214"/>
      <c r="X1270" s="214"/>
      <c r="Y1270" s="214"/>
      <c r="Z1270" s="214"/>
    </row>
    <row r="1271" ht="15.75" customHeight="1">
      <c r="A1271" s="214"/>
      <c r="B1271" s="214"/>
      <c r="C1271" s="214"/>
      <c r="D1271" s="214"/>
      <c r="E1271" s="214"/>
      <c r="F1271" s="214"/>
      <c r="G1271" s="214"/>
      <c r="H1271" s="214"/>
      <c r="I1271" s="214"/>
      <c r="J1271" s="214"/>
      <c r="K1271" s="214"/>
      <c r="L1271" s="214"/>
      <c r="M1271" s="214"/>
      <c r="N1271" s="214"/>
      <c r="O1271" s="214"/>
      <c r="P1271" s="214"/>
      <c r="Q1271" s="214"/>
      <c r="R1271" s="214"/>
      <c r="S1271" s="214"/>
      <c r="T1271" s="214"/>
      <c r="U1271" s="214"/>
      <c r="V1271" s="214"/>
      <c r="W1271" s="214"/>
      <c r="X1271" s="214"/>
      <c r="Y1271" s="214"/>
      <c r="Z1271" s="214"/>
    </row>
    <row r="1272" ht="15.75" customHeight="1">
      <c r="A1272" s="214"/>
      <c r="B1272" s="214"/>
      <c r="C1272" s="214"/>
      <c r="D1272" s="214"/>
      <c r="E1272" s="214"/>
      <c r="F1272" s="214"/>
      <c r="G1272" s="214"/>
      <c r="H1272" s="214"/>
      <c r="I1272" s="214"/>
      <c r="J1272" s="214"/>
      <c r="K1272" s="214"/>
      <c r="L1272" s="214"/>
      <c r="M1272" s="214"/>
      <c r="N1272" s="214"/>
      <c r="O1272" s="214"/>
      <c r="P1272" s="214"/>
      <c r="Q1272" s="214"/>
      <c r="R1272" s="214"/>
      <c r="S1272" s="214"/>
      <c r="T1272" s="214"/>
      <c r="U1272" s="214"/>
      <c r="V1272" s="214"/>
      <c r="W1272" s="214"/>
      <c r="X1272" s="214"/>
      <c r="Y1272" s="214"/>
      <c r="Z1272" s="214"/>
    </row>
    <row r="1273" ht="15.75" customHeight="1">
      <c r="A1273" s="214"/>
      <c r="B1273" s="214"/>
      <c r="C1273" s="214"/>
      <c r="D1273" s="214"/>
      <c r="E1273" s="214"/>
      <c r="F1273" s="214"/>
      <c r="G1273" s="214"/>
      <c r="H1273" s="214"/>
      <c r="I1273" s="214"/>
      <c r="J1273" s="214"/>
      <c r="K1273" s="214"/>
      <c r="L1273" s="214"/>
      <c r="M1273" s="214"/>
      <c r="N1273" s="214"/>
      <c r="O1273" s="214"/>
      <c r="P1273" s="214"/>
      <c r="Q1273" s="214"/>
      <c r="R1273" s="214"/>
      <c r="S1273" s="214"/>
      <c r="T1273" s="214"/>
      <c r="U1273" s="214"/>
      <c r="V1273" s="214"/>
      <c r="W1273" s="214"/>
      <c r="X1273" s="214"/>
      <c r="Y1273" s="214"/>
      <c r="Z1273" s="214"/>
    </row>
    <row r="1274" ht="15.75" customHeight="1">
      <c r="A1274" s="214"/>
      <c r="B1274" s="214"/>
      <c r="C1274" s="214"/>
      <c r="D1274" s="214"/>
      <c r="E1274" s="214"/>
      <c r="F1274" s="214"/>
      <c r="G1274" s="214"/>
      <c r="H1274" s="214"/>
      <c r="I1274" s="214"/>
      <c r="J1274" s="214"/>
      <c r="K1274" s="214"/>
      <c r="L1274" s="214"/>
      <c r="M1274" s="214"/>
      <c r="N1274" s="214"/>
      <c r="O1274" s="214"/>
      <c r="P1274" s="214"/>
      <c r="Q1274" s="214"/>
      <c r="R1274" s="214"/>
      <c r="S1274" s="214"/>
      <c r="T1274" s="214"/>
      <c r="U1274" s="214"/>
      <c r="V1274" s="214"/>
      <c r="W1274" s="214"/>
      <c r="X1274" s="214"/>
      <c r="Y1274" s="214"/>
      <c r="Z1274" s="214"/>
    </row>
    <row r="1275" ht="15.75" customHeight="1">
      <c r="A1275" s="214"/>
      <c r="B1275" s="214"/>
      <c r="C1275" s="214"/>
      <c r="D1275" s="214"/>
      <c r="E1275" s="214"/>
      <c r="F1275" s="214"/>
      <c r="G1275" s="214"/>
      <c r="H1275" s="214"/>
      <c r="I1275" s="214"/>
      <c r="J1275" s="214"/>
      <c r="K1275" s="214"/>
      <c r="L1275" s="214"/>
      <c r="M1275" s="214"/>
      <c r="N1275" s="214"/>
      <c r="O1275" s="214"/>
      <c r="P1275" s="214"/>
      <c r="Q1275" s="214"/>
      <c r="R1275" s="214"/>
      <c r="S1275" s="214"/>
      <c r="T1275" s="214"/>
      <c r="U1275" s="214"/>
      <c r="V1275" s="214"/>
      <c r="W1275" s="214"/>
      <c r="X1275" s="214"/>
      <c r="Y1275" s="214"/>
      <c r="Z1275" s="214"/>
    </row>
    <row r="1276" ht="15.75" customHeight="1">
      <c r="A1276" s="214"/>
      <c r="B1276" s="214"/>
      <c r="C1276" s="214"/>
      <c r="D1276" s="214"/>
      <c r="E1276" s="214"/>
      <c r="F1276" s="214"/>
      <c r="G1276" s="214"/>
      <c r="H1276" s="214"/>
      <c r="I1276" s="214"/>
      <c r="J1276" s="214"/>
      <c r="K1276" s="214"/>
      <c r="L1276" s="214"/>
      <c r="M1276" s="214"/>
      <c r="N1276" s="214"/>
      <c r="O1276" s="214"/>
      <c r="P1276" s="214"/>
      <c r="Q1276" s="214"/>
      <c r="R1276" s="214"/>
      <c r="S1276" s="214"/>
      <c r="T1276" s="214"/>
      <c r="U1276" s="214"/>
      <c r="V1276" s="214"/>
      <c r="W1276" s="214"/>
      <c r="X1276" s="214"/>
      <c r="Y1276" s="214"/>
      <c r="Z1276" s="214"/>
    </row>
    <row r="1277" ht="15.75" customHeight="1">
      <c r="A1277" s="214"/>
      <c r="B1277" s="214"/>
      <c r="C1277" s="214"/>
      <c r="D1277" s="214"/>
      <c r="E1277" s="214"/>
      <c r="F1277" s="214"/>
      <c r="G1277" s="214"/>
      <c r="H1277" s="214"/>
      <c r="I1277" s="214"/>
      <c r="J1277" s="214"/>
      <c r="K1277" s="214"/>
      <c r="L1277" s="214"/>
      <c r="M1277" s="214"/>
      <c r="N1277" s="214"/>
      <c r="O1277" s="214"/>
      <c r="P1277" s="214"/>
      <c r="Q1277" s="214"/>
      <c r="R1277" s="214"/>
      <c r="S1277" s="214"/>
      <c r="T1277" s="214"/>
      <c r="U1277" s="214"/>
      <c r="V1277" s="214"/>
      <c r="W1277" s="214"/>
      <c r="X1277" s="214"/>
      <c r="Y1277" s="214"/>
      <c r="Z1277" s="214"/>
    </row>
    <row r="1278" ht="15.75" customHeight="1">
      <c r="A1278" s="214"/>
      <c r="B1278" s="214"/>
      <c r="C1278" s="214"/>
      <c r="D1278" s="214"/>
      <c r="E1278" s="214"/>
      <c r="F1278" s="214"/>
      <c r="G1278" s="214"/>
      <c r="H1278" s="214"/>
      <c r="I1278" s="214"/>
      <c r="J1278" s="214"/>
      <c r="K1278" s="214"/>
      <c r="L1278" s="214"/>
      <c r="M1278" s="214"/>
      <c r="N1278" s="214"/>
      <c r="O1278" s="214"/>
      <c r="P1278" s="214"/>
      <c r="Q1278" s="214"/>
      <c r="R1278" s="214"/>
      <c r="S1278" s="214"/>
      <c r="T1278" s="214"/>
      <c r="U1278" s="214"/>
      <c r="V1278" s="214"/>
      <c r="W1278" s="214"/>
      <c r="X1278" s="214"/>
      <c r="Y1278" s="214"/>
      <c r="Z1278" s="214"/>
    </row>
    <row r="1279" ht="15.75" customHeight="1">
      <c r="A1279" s="214"/>
      <c r="B1279" s="214"/>
      <c r="C1279" s="214"/>
      <c r="D1279" s="214"/>
      <c r="E1279" s="214"/>
      <c r="F1279" s="214"/>
      <c r="G1279" s="214"/>
      <c r="H1279" s="214"/>
      <c r="I1279" s="214"/>
      <c r="J1279" s="214"/>
      <c r="K1279" s="214"/>
      <c r="L1279" s="214"/>
      <c r="M1279" s="214"/>
      <c r="N1279" s="214"/>
      <c r="O1279" s="214"/>
      <c r="P1279" s="214"/>
      <c r="Q1279" s="214"/>
      <c r="R1279" s="214"/>
      <c r="S1279" s="214"/>
      <c r="T1279" s="214"/>
      <c r="U1279" s="214"/>
      <c r="V1279" s="214"/>
      <c r="W1279" s="214"/>
      <c r="X1279" s="214"/>
      <c r="Y1279" s="214"/>
      <c r="Z1279" s="214"/>
    </row>
    <row r="1280" ht="15.75" customHeight="1">
      <c r="A1280" s="214"/>
      <c r="B1280" s="214"/>
      <c r="C1280" s="214"/>
      <c r="D1280" s="214"/>
      <c r="E1280" s="214"/>
      <c r="F1280" s="214"/>
      <c r="G1280" s="214"/>
      <c r="H1280" s="214"/>
      <c r="I1280" s="214"/>
      <c r="J1280" s="214"/>
      <c r="K1280" s="214"/>
      <c r="L1280" s="214"/>
      <c r="M1280" s="214"/>
      <c r="N1280" s="214"/>
      <c r="O1280" s="214"/>
      <c r="P1280" s="214"/>
      <c r="Q1280" s="214"/>
      <c r="R1280" s="214"/>
      <c r="S1280" s="214"/>
      <c r="T1280" s="214"/>
      <c r="U1280" s="214"/>
      <c r="V1280" s="214"/>
      <c r="W1280" s="214"/>
      <c r="X1280" s="214"/>
      <c r="Y1280" s="214"/>
      <c r="Z1280" s="214"/>
    </row>
    <row r="1281" ht="15.75" customHeight="1">
      <c r="A1281" s="214"/>
      <c r="B1281" s="214"/>
      <c r="C1281" s="214"/>
      <c r="D1281" s="214"/>
      <c r="E1281" s="214"/>
      <c r="F1281" s="214"/>
      <c r="G1281" s="214"/>
      <c r="H1281" s="214"/>
      <c r="I1281" s="214"/>
      <c r="J1281" s="214"/>
      <c r="K1281" s="214"/>
      <c r="L1281" s="214"/>
      <c r="M1281" s="214"/>
      <c r="N1281" s="214"/>
      <c r="O1281" s="214"/>
      <c r="P1281" s="214"/>
      <c r="Q1281" s="214"/>
      <c r="R1281" s="214"/>
      <c r="S1281" s="214"/>
      <c r="T1281" s="214"/>
      <c r="U1281" s="214"/>
      <c r="V1281" s="214"/>
      <c r="W1281" s="214"/>
      <c r="X1281" s="214"/>
      <c r="Y1281" s="214"/>
      <c r="Z1281" s="214"/>
    </row>
    <row r="1282" ht="15.75" customHeight="1">
      <c r="A1282" s="214"/>
      <c r="B1282" s="214"/>
      <c r="C1282" s="214"/>
      <c r="D1282" s="214"/>
      <c r="E1282" s="214"/>
      <c r="F1282" s="214"/>
      <c r="G1282" s="214"/>
      <c r="H1282" s="214"/>
      <c r="I1282" s="214"/>
      <c r="J1282" s="214"/>
      <c r="K1282" s="214"/>
      <c r="L1282" s="214"/>
      <c r="M1282" s="214"/>
      <c r="N1282" s="214"/>
      <c r="O1282" s="214"/>
      <c r="P1282" s="214"/>
      <c r="Q1282" s="214"/>
      <c r="R1282" s="214"/>
      <c r="S1282" s="214"/>
      <c r="T1282" s="214"/>
      <c r="U1282" s="214"/>
      <c r="V1282" s="214"/>
      <c r="W1282" s="214"/>
      <c r="X1282" s="214"/>
      <c r="Y1282" s="214"/>
      <c r="Z1282" s="214"/>
    </row>
    <row r="1283" ht="15.75" customHeight="1">
      <c r="A1283" s="214"/>
      <c r="B1283" s="214"/>
      <c r="C1283" s="214"/>
      <c r="D1283" s="214"/>
      <c r="E1283" s="214"/>
      <c r="F1283" s="214"/>
      <c r="G1283" s="214"/>
      <c r="H1283" s="214"/>
      <c r="I1283" s="214"/>
      <c r="J1283" s="214"/>
      <c r="K1283" s="214"/>
      <c r="L1283" s="214"/>
      <c r="M1283" s="214"/>
      <c r="N1283" s="214"/>
      <c r="O1283" s="214"/>
      <c r="P1283" s="214"/>
      <c r="Q1283" s="214"/>
      <c r="R1283" s="214"/>
      <c r="S1283" s="214"/>
      <c r="T1283" s="214"/>
      <c r="U1283" s="214"/>
      <c r="V1283" s="214"/>
      <c r="W1283" s="214"/>
      <c r="X1283" s="214"/>
      <c r="Y1283" s="214"/>
      <c r="Z1283" s="214"/>
    </row>
    <row r="1284" ht="15.75" customHeight="1">
      <c r="A1284" s="214"/>
      <c r="B1284" s="214"/>
      <c r="C1284" s="214"/>
      <c r="D1284" s="214"/>
      <c r="E1284" s="214"/>
      <c r="F1284" s="214"/>
      <c r="G1284" s="214"/>
      <c r="H1284" s="214"/>
      <c r="I1284" s="214"/>
      <c r="J1284" s="214"/>
      <c r="K1284" s="214"/>
      <c r="L1284" s="214"/>
      <c r="M1284" s="214"/>
      <c r="N1284" s="214"/>
      <c r="O1284" s="214"/>
      <c r="P1284" s="214"/>
      <c r="Q1284" s="214"/>
      <c r="R1284" s="214"/>
      <c r="S1284" s="214"/>
      <c r="T1284" s="214"/>
      <c r="U1284" s="214"/>
      <c r="V1284" s="214"/>
      <c r="W1284" s="214"/>
      <c r="X1284" s="214"/>
      <c r="Y1284" s="214"/>
      <c r="Z1284" s="214"/>
    </row>
    <row r="1285" ht="15.75" customHeight="1">
      <c r="A1285" s="214"/>
      <c r="B1285" s="214"/>
      <c r="C1285" s="214"/>
      <c r="D1285" s="214"/>
      <c r="E1285" s="214"/>
      <c r="F1285" s="214"/>
      <c r="G1285" s="214"/>
      <c r="H1285" s="214"/>
      <c r="I1285" s="214"/>
      <c r="J1285" s="214"/>
      <c r="K1285" s="214"/>
      <c r="L1285" s="214"/>
      <c r="M1285" s="214"/>
      <c r="N1285" s="214"/>
      <c r="O1285" s="214"/>
      <c r="P1285" s="214"/>
      <c r="Q1285" s="214"/>
      <c r="R1285" s="214"/>
      <c r="S1285" s="214"/>
      <c r="T1285" s="214"/>
      <c r="U1285" s="214"/>
      <c r="V1285" s="214"/>
      <c r="W1285" s="214"/>
      <c r="X1285" s="214"/>
      <c r="Y1285" s="214"/>
      <c r="Z1285" s="214"/>
    </row>
    <row r="1286" ht="15.75" customHeight="1">
      <c r="A1286" s="214"/>
      <c r="B1286" s="214"/>
      <c r="C1286" s="214"/>
      <c r="D1286" s="214"/>
      <c r="E1286" s="214"/>
      <c r="F1286" s="214"/>
      <c r="G1286" s="214"/>
      <c r="H1286" s="214"/>
      <c r="I1286" s="214"/>
      <c r="J1286" s="214"/>
      <c r="K1286" s="214"/>
      <c r="L1286" s="214"/>
      <c r="M1286" s="214"/>
      <c r="N1286" s="214"/>
      <c r="O1286" s="214"/>
      <c r="P1286" s="214"/>
      <c r="Q1286" s="214"/>
      <c r="R1286" s="214"/>
      <c r="S1286" s="214"/>
      <c r="T1286" s="214"/>
      <c r="U1286" s="214"/>
      <c r="V1286" s="214"/>
      <c r="W1286" s="214"/>
      <c r="X1286" s="214"/>
      <c r="Y1286" s="214"/>
      <c r="Z1286" s="214"/>
    </row>
    <row r="1287" ht="15.75" customHeight="1">
      <c r="A1287" s="214"/>
      <c r="B1287" s="214"/>
      <c r="C1287" s="214"/>
      <c r="D1287" s="214"/>
      <c r="E1287" s="214"/>
      <c r="F1287" s="214"/>
      <c r="G1287" s="214"/>
      <c r="H1287" s="214"/>
      <c r="I1287" s="214"/>
      <c r="J1287" s="214"/>
      <c r="K1287" s="214"/>
      <c r="L1287" s="214"/>
      <c r="M1287" s="214"/>
      <c r="N1287" s="214"/>
      <c r="O1287" s="214"/>
      <c r="P1287" s="214"/>
      <c r="Q1287" s="214"/>
      <c r="R1287" s="214"/>
      <c r="S1287" s="214"/>
      <c r="T1287" s="214"/>
      <c r="U1287" s="214"/>
      <c r="V1287" s="214"/>
      <c r="W1287" s="214"/>
      <c r="X1287" s="214"/>
      <c r="Y1287" s="214"/>
      <c r="Z1287" s="214"/>
    </row>
    <row r="1288" ht="15.75" customHeight="1">
      <c r="A1288" s="214"/>
      <c r="B1288" s="214"/>
      <c r="C1288" s="214"/>
      <c r="D1288" s="214"/>
      <c r="E1288" s="214"/>
      <c r="F1288" s="214"/>
      <c r="G1288" s="214"/>
      <c r="H1288" s="214"/>
      <c r="I1288" s="214"/>
      <c r="J1288" s="214"/>
      <c r="K1288" s="214"/>
      <c r="L1288" s="214"/>
      <c r="M1288" s="214"/>
      <c r="N1288" s="214"/>
      <c r="O1288" s="214"/>
      <c r="P1288" s="214"/>
      <c r="Q1288" s="214"/>
      <c r="R1288" s="214"/>
      <c r="S1288" s="214"/>
      <c r="T1288" s="214"/>
      <c r="U1288" s="214"/>
      <c r="V1288" s="214"/>
      <c r="W1288" s="214"/>
      <c r="X1288" s="214"/>
      <c r="Y1288" s="214"/>
      <c r="Z1288" s="214"/>
    </row>
    <row r="1289" ht="15.75" customHeight="1">
      <c r="A1289" s="214"/>
      <c r="B1289" s="214"/>
      <c r="C1289" s="214"/>
      <c r="D1289" s="214"/>
      <c r="E1289" s="214"/>
      <c r="F1289" s="214"/>
      <c r="G1289" s="214"/>
      <c r="H1289" s="214"/>
      <c r="I1289" s="214"/>
      <c r="J1289" s="214"/>
      <c r="K1289" s="214"/>
      <c r="L1289" s="214"/>
      <c r="M1289" s="214"/>
      <c r="N1289" s="214"/>
      <c r="O1289" s="214"/>
      <c r="P1289" s="214"/>
      <c r="Q1289" s="214"/>
      <c r="R1289" s="214"/>
      <c r="S1289" s="214"/>
      <c r="T1289" s="214"/>
      <c r="U1289" s="214"/>
      <c r="V1289" s="214"/>
      <c r="W1289" s="214"/>
      <c r="X1289" s="214"/>
      <c r="Y1289" s="214"/>
      <c r="Z1289" s="214"/>
    </row>
    <row r="1290" ht="15.75" customHeight="1">
      <c r="A1290" s="214"/>
      <c r="B1290" s="214"/>
      <c r="C1290" s="214"/>
      <c r="D1290" s="214"/>
      <c r="E1290" s="214"/>
      <c r="F1290" s="214"/>
      <c r="G1290" s="214"/>
      <c r="H1290" s="214"/>
      <c r="I1290" s="214"/>
      <c r="J1290" s="214"/>
      <c r="K1290" s="214"/>
      <c r="L1290" s="214"/>
      <c r="M1290" s="214"/>
      <c r="N1290" s="214"/>
      <c r="O1290" s="214"/>
      <c r="P1290" s="214"/>
      <c r="Q1290" s="214"/>
      <c r="R1290" s="214"/>
      <c r="S1290" s="214"/>
      <c r="T1290" s="214"/>
      <c r="U1290" s="214"/>
      <c r="V1290" s="214"/>
      <c r="W1290" s="214"/>
      <c r="X1290" s="214"/>
      <c r="Y1290" s="214"/>
      <c r="Z1290" s="214"/>
    </row>
    <row r="1291" ht="15.75" customHeight="1">
      <c r="A1291" s="214"/>
      <c r="B1291" s="214"/>
      <c r="C1291" s="214"/>
      <c r="D1291" s="214"/>
      <c r="E1291" s="214"/>
      <c r="F1291" s="214"/>
      <c r="G1291" s="214"/>
      <c r="H1291" s="214"/>
      <c r="I1291" s="214"/>
      <c r="J1291" s="214"/>
      <c r="K1291" s="214"/>
      <c r="L1291" s="214"/>
      <c r="M1291" s="214"/>
      <c r="N1291" s="214"/>
      <c r="O1291" s="214"/>
      <c r="P1291" s="214"/>
      <c r="Q1291" s="214"/>
      <c r="R1291" s="214"/>
      <c r="S1291" s="214"/>
      <c r="T1291" s="214"/>
      <c r="U1291" s="214"/>
      <c r="V1291" s="214"/>
      <c r="W1291" s="214"/>
      <c r="X1291" s="214"/>
      <c r="Y1291" s="214"/>
      <c r="Z1291" s="214"/>
    </row>
    <row r="1292" ht="15.75" customHeight="1">
      <c r="A1292" s="214"/>
      <c r="B1292" s="214"/>
      <c r="C1292" s="214"/>
      <c r="D1292" s="214"/>
      <c r="E1292" s="214"/>
      <c r="F1292" s="214"/>
      <c r="G1292" s="214"/>
      <c r="H1292" s="214"/>
      <c r="I1292" s="214"/>
      <c r="J1292" s="214"/>
      <c r="K1292" s="214"/>
      <c r="L1292" s="214"/>
      <c r="M1292" s="214"/>
      <c r="N1292" s="214"/>
      <c r="O1292" s="214"/>
      <c r="P1292" s="214"/>
      <c r="Q1292" s="214"/>
      <c r="R1292" s="214"/>
      <c r="S1292" s="214"/>
      <c r="T1292" s="214"/>
      <c r="U1292" s="214"/>
      <c r="V1292" s="214"/>
      <c r="W1292" s="214"/>
      <c r="X1292" s="214"/>
      <c r="Y1292" s="214"/>
      <c r="Z1292" s="214"/>
    </row>
    <row r="1293" ht="15.75" customHeight="1">
      <c r="A1293" s="214"/>
      <c r="B1293" s="214"/>
      <c r="C1293" s="214"/>
      <c r="D1293" s="214"/>
      <c r="E1293" s="214"/>
      <c r="F1293" s="214"/>
      <c r="G1293" s="214"/>
      <c r="H1293" s="214"/>
      <c r="I1293" s="214"/>
      <c r="J1293" s="214"/>
      <c r="K1293" s="214"/>
      <c r="L1293" s="214"/>
      <c r="M1293" s="214"/>
      <c r="N1293" s="214"/>
      <c r="O1293" s="214"/>
      <c r="P1293" s="214"/>
      <c r="Q1293" s="214"/>
      <c r="R1293" s="214"/>
      <c r="S1293" s="214"/>
      <c r="T1293" s="214"/>
      <c r="U1293" s="214"/>
      <c r="V1293" s="214"/>
      <c r="W1293" s="214"/>
      <c r="X1293" s="214"/>
      <c r="Y1293" s="214"/>
      <c r="Z1293" s="214"/>
    </row>
    <row r="1294" ht="15.75" customHeight="1">
      <c r="A1294" s="214"/>
      <c r="B1294" s="214"/>
      <c r="C1294" s="214"/>
      <c r="D1294" s="214"/>
      <c r="E1294" s="214"/>
      <c r="F1294" s="214"/>
      <c r="G1294" s="214"/>
      <c r="H1294" s="214"/>
      <c r="I1294" s="214"/>
      <c r="J1294" s="214"/>
      <c r="K1294" s="214"/>
      <c r="L1294" s="214"/>
      <c r="M1294" s="214"/>
      <c r="N1294" s="214"/>
      <c r="O1294" s="214"/>
      <c r="P1294" s="214"/>
      <c r="Q1294" s="214"/>
      <c r="R1294" s="214"/>
      <c r="S1294" s="214"/>
      <c r="T1294" s="214"/>
      <c r="U1294" s="214"/>
      <c r="V1294" s="214"/>
      <c r="W1294" s="214"/>
      <c r="X1294" s="214"/>
      <c r="Y1294" s="214"/>
      <c r="Z1294" s="214"/>
    </row>
    <row r="1295" ht="15.75" customHeight="1">
      <c r="A1295" s="214"/>
      <c r="B1295" s="214"/>
      <c r="C1295" s="214"/>
      <c r="D1295" s="214"/>
      <c r="E1295" s="214"/>
      <c r="F1295" s="214"/>
      <c r="G1295" s="214"/>
      <c r="H1295" s="214"/>
      <c r="I1295" s="214"/>
      <c r="J1295" s="214"/>
      <c r="K1295" s="214"/>
      <c r="L1295" s="214"/>
      <c r="M1295" s="214"/>
      <c r="N1295" s="214"/>
      <c r="O1295" s="214"/>
      <c r="P1295" s="214"/>
      <c r="Q1295" s="214"/>
      <c r="R1295" s="214"/>
      <c r="S1295" s="214"/>
      <c r="T1295" s="214"/>
      <c r="U1295" s="214"/>
      <c r="V1295" s="214"/>
      <c r="W1295" s="214"/>
      <c r="X1295" s="214"/>
      <c r="Y1295" s="214"/>
      <c r="Z1295" s="214"/>
    </row>
    <row r="1296" ht="15.75" customHeight="1">
      <c r="A1296" s="214"/>
      <c r="B1296" s="214"/>
      <c r="C1296" s="214"/>
      <c r="D1296" s="214"/>
      <c r="E1296" s="214"/>
      <c r="F1296" s="214"/>
      <c r="G1296" s="214"/>
      <c r="H1296" s="214"/>
      <c r="I1296" s="214"/>
      <c r="J1296" s="214"/>
      <c r="K1296" s="214"/>
      <c r="L1296" s="214"/>
      <c r="M1296" s="214"/>
      <c r="N1296" s="214"/>
      <c r="O1296" s="214"/>
      <c r="P1296" s="214"/>
      <c r="Q1296" s="214"/>
      <c r="R1296" s="214"/>
      <c r="S1296" s="214"/>
      <c r="T1296" s="214"/>
      <c r="U1296" s="214"/>
      <c r="V1296" s="214"/>
      <c r="W1296" s="214"/>
      <c r="X1296" s="214"/>
      <c r="Y1296" s="214"/>
      <c r="Z1296" s="214"/>
    </row>
    <row r="1297" ht="15.75" customHeight="1">
      <c r="A1297" s="214"/>
      <c r="B1297" s="214"/>
      <c r="C1297" s="214"/>
      <c r="D1297" s="214"/>
      <c r="E1297" s="214"/>
      <c r="F1297" s="214"/>
      <c r="G1297" s="214"/>
      <c r="H1297" s="214"/>
      <c r="I1297" s="214"/>
      <c r="J1297" s="214"/>
      <c r="K1297" s="214"/>
      <c r="L1297" s="214"/>
      <c r="M1297" s="214"/>
      <c r="N1297" s="214"/>
      <c r="O1297" s="214"/>
      <c r="P1297" s="214"/>
      <c r="Q1297" s="214"/>
      <c r="R1297" s="214"/>
      <c r="S1297" s="214"/>
      <c r="T1297" s="214"/>
      <c r="U1297" s="214"/>
      <c r="V1297" s="214"/>
      <c r="W1297" s="214"/>
      <c r="X1297" s="214"/>
      <c r="Y1297" s="214"/>
      <c r="Z1297" s="214"/>
    </row>
    <row r="1298" ht="15.75" customHeight="1">
      <c r="A1298" s="214"/>
      <c r="B1298" s="214"/>
      <c r="C1298" s="214"/>
      <c r="D1298" s="214"/>
      <c r="E1298" s="214"/>
      <c r="F1298" s="214"/>
      <c r="G1298" s="214"/>
      <c r="H1298" s="214"/>
      <c r="I1298" s="214"/>
      <c r="J1298" s="214"/>
      <c r="K1298" s="214"/>
      <c r="L1298" s="214"/>
      <c r="M1298" s="214"/>
      <c r="N1298" s="214"/>
      <c r="O1298" s="214"/>
      <c r="P1298" s="214"/>
      <c r="Q1298" s="214"/>
      <c r="R1298" s="214"/>
      <c r="S1298" s="214"/>
      <c r="T1298" s="214"/>
      <c r="U1298" s="214"/>
      <c r="V1298" s="214"/>
      <c r="W1298" s="214"/>
      <c r="X1298" s="214"/>
      <c r="Y1298" s="214"/>
      <c r="Z1298" s="214"/>
    </row>
    <row r="1299" ht="15.75" customHeight="1">
      <c r="A1299" s="214"/>
      <c r="B1299" s="214"/>
      <c r="C1299" s="214"/>
      <c r="D1299" s="214"/>
      <c r="E1299" s="214"/>
      <c r="F1299" s="214"/>
      <c r="G1299" s="214"/>
      <c r="H1299" s="214"/>
      <c r="I1299" s="214"/>
      <c r="J1299" s="214"/>
      <c r="K1299" s="214"/>
      <c r="L1299" s="214"/>
      <c r="M1299" s="214"/>
      <c r="N1299" s="214"/>
      <c r="O1299" s="214"/>
      <c r="P1299" s="214"/>
      <c r="Q1299" s="214"/>
      <c r="R1299" s="214"/>
      <c r="S1299" s="214"/>
      <c r="T1299" s="214"/>
      <c r="U1299" s="214"/>
      <c r="V1299" s="214"/>
      <c r="W1299" s="214"/>
      <c r="X1299" s="214"/>
      <c r="Y1299" s="214"/>
      <c r="Z1299" s="214"/>
    </row>
    <row r="1300" ht="15.75" customHeight="1">
      <c r="A1300" s="214"/>
      <c r="B1300" s="214"/>
      <c r="C1300" s="214"/>
      <c r="D1300" s="214"/>
      <c r="E1300" s="214"/>
      <c r="F1300" s="214"/>
      <c r="G1300" s="214"/>
      <c r="H1300" s="214"/>
      <c r="I1300" s="214"/>
      <c r="J1300" s="214"/>
      <c r="K1300" s="214"/>
      <c r="L1300" s="214"/>
      <c r="M1300" s="214"/>
      <c r="N1300" s="214"/>
      <c r="O1300" s="214"/>
      <c r="P1300" s="214"/>
      <c r="Q1300" s="214"/>
      <c r="R1300" s="214"/>
      <c r="S1300" s="214"/>
      <c r="T1300" s="214"/>
      <c r="U1300" s="214"/>
      <c r="V1300" s="214"/>
      <c r="W1300" s="214"/>
      <c r="X1300" s="214"/>
      <c r="Y1300" s="214"/>
      <c r="Z1300" s="214"/>
    </row>
    <row r="1301" ht="15.75" customHeight="1">
      <c r="A1301" s="214"/>
      <c r="B1301" s="214"/>
      <c r="C1301" s="214"/>
      <c r="D1301" s="214"/>
      <c r="E1301" s="214"/>
      <c r="F1301" s="214"/>
      <c r="G1301" s="214"/>
      <c r="H1301" s="214"/>
      <c r="I1301" s="214"/>
      <c r="J1301" s="214"/>
      <c r="K1301" s="214"/>
      <c r="L1301" s="214"/>
      <c r="M1301" s="214"/>
      <c r="N1301" s="214"/>
      <c r="O1301" s="214"/>
      <c r="P1301" s="214"/>
      <c r="Q1301" s="214"/>
      <c r="R1301" s="214"/>
      <c r="S1301" s="214"/>
      <c r="T1301" s="214"/>
      <c r="U1301" s="214"/>
      <c r="V1301" s="214"/>
      <c r="W1301" s="214"/>
      <c r="X1301" s="214"/>
      <c r="Y1301" s="214"/>
      <c r="Z1301" s="214"/>
    </row>
    <row r="1302" ht="15.75" customHeight="1">
      <c r="A1302" s="214"/>
      <c r="B1302" s="214"/>
      <c r="C1302" s="214"/>
      <c r="D1302" s="214"/>
      <c r="E1302" s="214"/>
      <c r="F1302" s="214"/>
      <c r="G1302" s="214"/>
      <c r="H1302" s="214"/>
      <c r="I1302" s="214"/>
      <c r="J1302" s="214"/>
      <c r="K1302" s="214"/>
      <c r="L1302" s="214"/>
      <c r="M1302" s="214"/>
      <c r="N1302" s="214"/>
      <c r="O1302" s="214"/>
      <c r="P1302" s="214"/>
      <c r="Q1302" s="214"/>
      <c r="R1302" s="214"/>
      <c r="S1302" s="214"/>
      <c r="T1302" s="214"/>
      <c r="U1302" s="214"/>
      <c r="V1302" s="214"/>
      <c r="W1302" s="214"/>
      <c r="X1302" s="214"/>
      <c r="Y1302" s="214"/>
      <c r="Z1302" s="214"/>
    </row>
    <row r="1303" ht="15.75" customHeight="1">
      <c r="A1303" s="214"/>
      <c r="B1303" s="214"/>
      <c r="C1303" s="214"/>
      <c r="D1303" s="214"/>
      <c r="E1303" s="214"/>
      <c r="F1303" s="214"/>
      <c r="G1303" s="214"/>
      <c r="H1303" s="214"/>
      <c r="I1303" s="214"/>
      <c r="J1303" s="214"/>
      <c r="K1303" s="214"/>
      <c r="L1303" s="214"/>
      <c r="M1303" s="214"/>
      <c r="N1303" s="214"/>
      <c r="O1303" s="214"/>
      <c r="P1303" s="214"/>
      <c r="Q1303" s="214"/>
      <c r="R1303" s="214"/>
      <c r="S1303" s="214"/>
      <c r="T1303" s="214"/>
      <c r="U1303" s="214"/>
      <c r="V1303" s="214"/>
      <c r="W1303" s="214"/>
      <c r="X1303" s="214"/>
      <c r="Y1303" s="214"/>
      <c r="Z1303" s="214"/>
    </row>
    <row r="1304" ht="15.75" customHeight="1">
      <c r="A1304" s="214"/>
      <c r="B1304" s="214"/>
      <c r="C1304" s="214"/>
      <c r="D1304" s="214"/>
      <c r="E1304" s="214"/>
      <c r="F1304" s="214"/>
      <c r="G1304" s="214"/>
      <c r="H1304" s="214"/>
      <c r="I1304" s="214"/>
      <c r="J1304" s="214"/>
      <c r="K1304" s="214"/>
      <c r="L1304" s="214"/>
      <c r="M1304" s="214"/>
      <c r="N1304" s="214"/>
      <c r="O1304" s="214"/>
      <c r="P1304" s="214"/>
      <c r="Q1304" s="214"/>
      <c r="R1304" s="214"/>
      <c r="S1304" s="214"/>
      <c r="T1304" s="214"/>
      <c r="U1304" s="214"/>
      <c r="V1304" s="214"/>
      <c r="W1304" s="214"/>
      <c r="X1304" s="214"/>
      <c r="Y1304" s="214"/>
      <c r="Z1304" s="214"/>
    </row>
    <row r="1305" ht="15.75" customHeight="1">
      <c r="A1305" s="214"/>
      <c r="B1305" s="214"/>
      <c r="C1305" s="214"/>
      <c r="D1305" s="214"/>
      <c r="E1305" s="214"/>
      <c r="F1305" s="214"/>
      <c r="G1305" s="214"/>
      <c r="H1305" s="214"/>
      <c r="I1305" s="214"/>
      <c r="J1305" s="214"/>
      <c r="K1305" s="214"/>
      <c r="L1305" s="214"/>
      <c r="M1305" s="214"/>
      <c r="N1305" s="214"/>
      <c r="O1305" s="214"/>
      <c r="P1305" s="214"/>
      <c r="Q1305" s="214"/>
      <c r="R1305" s="214"/>
      <c r="S1305" s="214"/>
      <c r="T1305" s="214"/>
      <c r="U1305" s="214"/>
      <c r="V1305" s="214"/>
      <c r="W1305" s="214"/>
      <c r="X1305" s="214"/>
      <c r="Y1305" s="214"/>
      <c r="Z1305" s="214"/>
    </row>
    <row r="1306" ht="15.75" customHeight="1">
      <c r="A1306" s="214"/>
      <c r="B1306" s="214"/>
      <c r="C1306" s="214"/>
      <c r="D1306" s="214"/>
      <c r="E1306" s="214"/>
      <c r="F1306" s="214"/>
      <c r="G1306" s="214"/>
      <c r="H1306" s="214"/>
      <c r="I1306" s="214"/>
      <c r="J1306" s="214"/>
      <c r="K1306" s="214"/>
      <c r="L1306" s="214"/>
      <c r="M1306" s="214"/>
      <c r="N1306" s="214"/>
      <c r="O1306" s="214"/>
      <c r="P1306" s="214"/>
      <c r="Q1306" s="214"/>
      <c r="R1306" s="214"/>
      <c r="S1306" s="214"/>
      <c r="T1306" s="214"/>
      <c r="U1306" s="214"/>
      <c r="V1306" s="214"/>
      <c r="W1306" s="214"/>
      <c r="X1306" s="214"/>
      <c r="Y1306" s="214"/>
      <c r="Z1306" s="214"/>
    </row>
    <row r="1307" ht="15.75" customHeight="1">
      <c r="A1307" s="214"/>
      <c r="B1307" s="214"/>
      <c r="C1307" s="214"/>
      <c r="D1307" s="214"/>
      <c r="E1307" s="214"/>
      <c r="F1307" s="214"/>
      <c r="G1307" s="214"/>
      <c r="H1307" s="214"/>
      <c r="I1307" s="214"/>
      <c r="J1307" s="214"/>
      <c r="K1307" s="214"/>
      <c r="L1307" s="214"/>
      <c r="M1307" s="214"/>
      <c r="N1307" s="214"/>
      <c r="O1307" s="214"/>
      <c r="P1307" s="214"/>
      <c r="Q1307" s="214"/>
      <c r="R1307" s="214"/>
      <c r="S1307" s="214"/>
      <c r="T1307" s="214"/>
      <c r="U1307" s="214"/>
      <c r="V1307" s="214"/>
      <c r="W1307" s="214"/>
      <c r="X1307" s="214"/>
      <c r="Y1307" s="214"/>
      <c r="Z1307" s="214"/>
    </row>
    <row r="1308" ht="15.75" customHeight="1">
      <c r="A1308" s="214"/>
      <c r="B1308" s="214"/>
      <c r="C1308" s="214"/>
      <c r="D1308" s="214"/>
      <c r="E1308" s="214"/>
      <c r="F1308" s="214"/>
      <c r="G1308" s="214"/>
      <c r="H1308" s="214"/>
      <c r="I1308" s="214"/>
      <c r="J1308" s="214"/>
      <c r="K1308" s="214"/>
      <c r="L1308" s="214"/>
      <c r="M1308" s="214"/>
      <c r="N1308" s="214"/>
      <c r="O1308" s="214"/>
      <c r="P1308" s="214"/>
      <c r="Q1308" s="214"/>
      <c r="R1308" s="214"/>
      <c r="S1308" s="214"/>
      <c r="T1308" s="214"/>
      <c r="U1308" s="214"/>
      <c r="V1308" s="214"/>
      <c r="W1308" s="214"/>
      <c r="X1308" s="214"/>
      <c r="Y1308" s="214"/>
      <c r="Z1308" s="214"/>
    </row>
    <row r="1309" ht="15.75" customHeight="1">
      <c r="A1309" s="214"/>
      <c r="B1309" s="214"/>
      <c r="C1309" s="214"/>
      <c r="D1309" s="214"/>
      <c r="E1309" s="214"/>
      <c r="F1309" s="214"/>
      <c r="G1309" s="214"/>
      <c r="H1309" s="214"/>
      <c r="I1309" s="214"/>
      <c r="J1309" s="214"/>
      <c r="K1309" s="214"/>
      <c r="L1309" s="214"/>
      <c r="M1309" s="214"/>
      <c r="N1309" s="214"/>
      <c r="O1309" s="214"/>
      <c r="P1309" s="214"/>
      <c r="Q1309" s="214"/>
      <c r="R1309" s="214"/>
      <c r="S1309" s="214"/>
      <c r="T1309" s="214"/>
      <c r="U1309" s="214"/>
      <c r="V1309" s="214"/>
      <c r="W1309" s="214"/>
      <c r="X1309" s="214"/>
      <c r="Y1309" s="214"/>
      <c r="Z1309" s="214"/>
    </row>
    <row r="1310" ht="15.75" customHeight="1">
      <c r="A1310" s="214"/>
      <c r="B1310" s="214"/>
      <c r="C1310" s="214"/>
      <c r="D1310" s="214"/>
      <c r="E1310" s="214"/>
      <c r="F1310" s="214"/>
      <c r="G1310" s="214"/>
      <c r="H1310" s="214"/>
      <c r="I1310" s="214"/>
      <c r="J1310" s="214"/>
      <c r="K1310" s="214"/>
      <c r="L1310" s="214"/>
      <c r="M1310" s="214"/>
      <c r="N1310" s="214"/>
      <c r="O1310" s="214"/>
      <c r="P1310" s="214"/>
      <c r="Q1310" s="214"/>
      <c r="R1310" s="214"/>
      <c r="S1310" s="214"/>
      <c r="T1310" s="214"/>
      <c r="U1310" s="214"/>
      <c r="V1310" s="214"/>
      <c r="W1310" s="214"/>
      <c r="X1310" s="214"/>
      <c r="Y1310" s="214"/>
      <c r="Z1310" s="214"/>
    </row>
    <row r="1311" ht="15.75" customHeight="1">
      <c r="A1311" s="214"/>
      <c r="B1311" s="214"/>
      <c r="C1311" s="214"/>
      <c r="D1311" s="214"/>
      <c r="E1311" s="214"/>
      <c r="F1311" s="214"/>
      <c r="G1311" s="214"/>
      <c r="H1311" s="214"/>
      <c r="I1311" s="214"/>
      <c r="J1311" s="214"/>
      <c r="K1311" s="214"/>
      <c r="L1311" s="214"/>
      <c r="M1311" s="214"/>
      <c r="N1311" s="214"/>
      <c r="O1311" s="214"/>
      <c r="P1311" s="214"/>
      <c r="Q1311" s="214"/>
      <c r="R1311" s="214"/>
      <c r="S1311" s="214"/>
      <c r="T1311" s="214"/>
      <c r="U1311" s="214"/>
      <c r="V1311" s="214"/>
      <c r="W1311" s="214"/>
      <c r="X1311" s="214"/>
      <c r="Y1311" s="214"/>
      <c r="Z1311" s="214"/>
    </row>
    <row r="1312" ht="15.75" customHeight="1">
      <c r="A1312" s="214"/>
      <c r="B1312" s="214"/>
      <c r="C1312" s="214"/>
      <c r="D1312" s="214"/>
      <c r="E1312" s="214"/>
      <c r="F1312" s="214"/>
      <c r="G1312" s="214"/>
      <c r="H1312" s="214"/>
      <c r="I1312" s="214"/>
      <c r="J1312" s="214"/>
      <c r="K1312" s="214"/>
      <c r="L1312" s="214"/>
      <c r="M1312" s="214"/>
      <c r="N1312" s="214"/>
      <c r="O1312" s="214"/>
      <c r="P1312" s="214"/>
      <c r="Q1312" s="214"/>
      <c r="R1312" s="214"/>
      <c r="S1312" s="214"/>
      <c r="T1312" s="214"/>
      <c r="U1312" s="214"/>
      <c r="V1312" s="214"/>
      <c r="W1312" s="214"/>
      <c r="X1312" s="214"/>
      <c r="Y1312" s="214"/>
      <c r="Z1312" s="214"/>
    </row>
    <row r="1313" ht="15.75" customHeight="1">
      <c r="A1313" s="214"/>
      <c r="B1313" s="214"/>
      <c r="C1313" s="214"/>
      <c r="D1313" s="214"/>
      <c r="E1313" s="214"/>
      <c r="F1313" s="214"/>
      <c r="G1313" s="214"/>
      <c r="H1313" s="214"/>
      <c r="I1313" s="214"/>
      <c r="J1313" s="214"/>
      <c r="K1313" s="214"/>
      <c r="L1313" s="214"/>
      <c r="M1313" s="214"/>
      <c r="N1313" s="214"/>
      <c r="O1313" s="214"/>
      <c r="P1313" s="214"/>
      <c r="Q1313" s="214"/>
      <c r="R1313" s="214"/>
      <c r="S1313" s="214"/>
      <c r="T1313" s="214"/>
      <c r="U1313" s="214"/>
      <c r="V1313" s="214"/>
      <c r="W1313" s="214"/>
      <c r="X1313" s="214"/>
      <c r="Y1313" s="214"/>
      <c r="Z1313" s="214"/>
    </row>
    <row r="1314" ht="15.75" customHeight="1">
      <c r="A1314" s="214"/>
      <c r="B1314" s="214"/>
      <c r="C1314" s="214"/>
      <c r="D1314" s="214"/>
      <c r="E1314" s="214"/>
      <c r="F1314" s="214"/>
      <c r="G1314" s="214"/>
      <c r="H1314" s="214"/>
      <c r="I1314" s="214"/>
      <c r="J1314" s="214"/>
      <c r="K1314" s="214"/>
      <c r="L1314" s="214"/>
      <c r="M1314" s="214"/>
      <c r="N1314" s="214"/>
      <c r="O1314" s="214"/>
      <c r="P1314" s="214"/>
      <c r="Q1314" s="214"/>
      <c r="R1314" s="214"/>
      <c r="S1314" s="214"/>
      <c r="T1314" s="214"/>
      <c r="U1314" s="214"/>
      <c r="V1314" s="214"/>
      <c r="W1314" s="214"/>
      <c r="X1314" s="214"/>
      <c r="Y1314" s="214"/>
      <c r="Z1314" s="214"/>
    </row>
    <row r="1315" ht="15.75" customHeight="1">
      <c r="A1315" s="214"/>
      <c r="B1315" s="214"/>
      <c r="C1315" s="214"/>
      <c r="D1315" s="214"/>
      <c r="E1315" s="214"/>
      <c r="F1315" s="214"/>
      <c r="G1315" s="214"/>
      <c r="H1315" s="214"/>
      <c r="I1315" s="214"/>
      <c r="J1315" s="214"/>
      <c r="K1315" s="214"/>
      <c r="L1315" s="214"/>
      <c r="M1315" s="214"/>
      <c r="N1315" s="214"/>
      <c r="O1315" s="214"/>
      <c r="P1315" s="214"/>
      <c r="Q1315" s="214"/>
      <c r="R1315" s="214"/>
      <c r="S1315" s="214"/>
      <c r="T1315" s="214"/>
      <c r="U1315" s="214"/>
      <c r="V1315" s="214"/>
      <c r="W1315" s="214"/>
      <c r="X1315" s="214"/>
      <c r="Y1315" s="214"/>
      <c r="Z1315" s="214"/>
    </row>
    <row r="1316" ht="15.75" customHeight="1">
      <c r="A1316" s="214"/>
      <c r="B1316" s="214"/>
      <c r="C1316" s="214"/>
      <c r="D1316" s="214"/>
      <c r="E1316" s="214"/>
      <c r="F1316" s="214"/>
      <c r="G1316" s="214"/>
      <c r="H1316" s="214"/>
      <c r="I1316" s="214"/>
      <c r="J1316" s="214"/>
      <c r="K1316" s="214"/>
      <c r="L1316" s="214"/>
      <c r="M1316" s="214"/>
      <c r="N1316" s="214"/>
      <c r="O1316" s="214"/>
      <c r="P1316" s="214"/>
      <c r="Q1316" s="214"/>
      <c r="R1316" s="214"/>
      <c r="S1316" s="214"/>
      <c r="T1316" s="214"/>
      <c r="U1316" s="214"/>
      <c r="V1316" s="214"/>
      <c r="W1316" s="214"/>
      <c r="X1316" s="214"/>
      <c r="Y1316" s="214"/>
      <c r="Z1316" s="214"/>
    </row>
    <row r="1317" ht="15.75" customHeight="1">
      <c r="A1317" s="214"/>
      <c r="B1317" s="214"/>
      <c r="C1317" s="214"/>
      <c r="D1317" s="214"/>
      <c r="E1317" s="214"/>
      <c r="F1317" s="214"/>
      <c r="G1317" s="214"/>
      <c r="H1317" s="214"/>
      <c r="I1317" s="214"/>
      <c r="J1317" s="214"/>
      <c r="K1317" s="214"/>
      <c r="L1317" s="214"/>
      <c r="M1317" s="214"/>
      <c r="N1317" s="214"/>
      <c r="O1317" s="214"/>
      <c r="P1317" s="214"/>
      <c r="Q1317" s="214"/>
      <c r="R1317" s="214"/>
      <c r="S1317" s="214"/>
      <c r="T1317" s="214"/>
      <c r="U1317" s="214"/>
      <c r="V1317" s="214"/>
      <c r="W1317" s="214"/>
      <c r="X1317" s="214"/>
      <c r="Y1317" s="214"/>
      <c r="Z1317" s="214"/>
    </row>
    <row r="1318" ht="15.75" customHeight="1">
      <c r="A1318" s="214"/>
      <c r="B1318" s="214"/>
      <c r="C1318" s="214"/>
      <c r="D1318" s="214"/>
      <c r="E1318" s="214"/>
      <c r="F1318" s="214"/>
      <c r="G1318" s="214"/>
      <c r="H1318" s="214"/>
      <c r="I1318" s="214"/>
      <c r="J1318" s="214"/>
      <c r="K1318" s="214"/>
      <c r="L1318" s="214"/>
      <c r="M1318" s="214"/>
      <c r="N1318" s="214"/>
      <c r="O1318" s="214"/>
      <c r="P1318" s="214"/>
      <c r="Q1318" s="214"/>
      <c r="R1318" s="214"/>
      <c r="S1318" s="214"/>
      <c r="T1318" s="214"/>
      <c r="U1318" s="214"/>
      <c r="V1318" s="214"/>
      <c r="W1318" s="214"/>
      <c r="X1318" s="214"/>
      <c r="Y1318" s="214"/>
      <c r="Z1318" s="214"/>
    </row>
    <row r="1319" ht="15.75" customHeight="1">
      <c r="A1319" s="214"/>
      <c r="B1319" s="214"/>
      <c r="C1319" s="214"/>
      <c r="D1319" s="214"/>
      <c r="E1319" s="214"/>
      <c r="F1319" s="214"/>
      <c r="G1319" s="214"/>
      <c r="H1319" s="214"/>
      <c r="I1319" s="214"/>
      <c r="J1319" s="214"/>
      <c r="K1319" s="214"/>
      <c r="L1319" s="214"/>
      <c r="M1319" s="214"/>
      <c r="N1319" s="214"/>
      <c r="O1319" s="214"/>
      <c r="P1319" s="214"/>
      <c r="Q1319" s="214"/>
      <c r="R1319" s="214"/>
      <c r="S1319" s="214"/>
      <c r="T1319" s="214"/>
      <c r="U1319" s="214"/>
      <c r="V1319" s="214"/>
      <c r="W1319" s="214"/>
      <c r="X1319" s="214"/>
      <c r="Y1319" s="214"/>
      <c r="Z1319" s="214"/>
    </row>
    <row r="1320" ht="15.75" customHeight="1">
      <c r="A1320" s="214"/>
      <c r="B1320" s="214"/>
      <c r="C1320" s="214"/>
      <c r="D1320" s="214"/>
      <c r="E1320" s="214"/>
      <c r="F1320" s="214"/>
      <c r="G1320" s="214"/>
      <c r="H1320" s="214"/>
      <c r="I1320" s="214"/>
      <c r="J1320" s="214"/>
      <c r="K1320" s="214"/>
      <c r="L1320" s="214"/>
      <c r="M1320" s="214"/>
      <c r="N1320" s="214"/>
      <c r="O1320" s="214"/>
      <c r="P1320" s="214"/>
      <c r="Q1320" s="214"/>
      <c r="R1320" s="214"/>
      <c r="S1320" s="214"/>
      <c r="T1320" s="214"/>
      <c r="U1320" s="214"/>
      <c r="V1320" s="214"/>
      <c r="W1320" s="214"/>
      <c r="X1320" s="214"/>
      <c r="Y1320" s="214"/>
      <c r="Z1320" s="214"/>
    </row>
    <row r="1321" ht="15.75" customHeight="1">
      <c r="A1321" s="214"/>
      <c r="B1321" s="214"/>
      <c r="C1321" s="214"/>
      <c r="D1321" s="214"/>
      <c r="E1321" s="214"/>
      <c r="F1321" s="214"/>
      <c r="G1321" s="214"/>
      <c r="H1321" s="214"/>
      <c r="I1321" s="214"/>
      <c r="J1321" s="214"/>
      <c r="K1321" s="214"/>
      <c r="L1321" s="214"/>
      <c r="M1321" s="214"/>
      <c r="N1321" s="214"/>
      <c r="O1321" s="214"/>
      <c r="P1321" s="214"/>
      <c r="Q1321" s="214"/>
      <c r="R1321" s="214"/>
      <c r="S1321" s="214"/>
      <c r="T1321" s="214"/>
      <c r="U1321" s="214"/>
      <c r="V1321" s="214"/>
      <c r="W1321" s="214"/>
      <c r="X1321" s="214"/>
      <c r="Y1321" s="214"/>
      <c r="Z1321" s="214"/>
    </row>
    <row r="1322" ht="15.75" customHeight="1">
      <c r="A1322" s="214"/>
      <c r="B1322" s="214"/>
      <c r="C1322" s="214"/>
      <c r="D1322" s="214"/>
      <c r="E1322" s="214"/>
      <c r="F1322" s="214"/>
      <c r="G1322" s="214"/>
      <c r="H1322" s="214"/>
      <c r="I1322" s="214"/>
      <c r="J1322" s="214"/>
      <c r="K1322" s="214"/>
      <c r="L1322" s="214"/>
      <c r="M1322" s="214"/>
      <c r="N1322" s="214"/>
      <c r="O1322" s="214"/>
      <c r="P1322" s="214"/>
      <c r="Q1322" s="214"/>
      <c r="R1322" s="214"/>
      <c r="S1322" s="214"/>
      <c r="T1322" s="214"/>
      <c r="U1322" s="214"/>
      <c r="V1322" s="214"/>
      <c r="W1322" s="214"/>
      <c r="X1322" s="214"/>
      <c r="Y1322" s="214"/>
      <c r="Z1322" s="214"/>
    </row>
    <row r="1323" ht="15.75" customHeight="1">
      <c r="A1323" s="214"/>
      <c r="B1323" s="214"/>
      <c r="C1323" s="214"/>
      <c r="D1323" s="214"/>
      <c r="E1323" s="214"/>
      <c r="F1323" s="214"/>
      <c r="G1323" s="214"/>
      <c r="H1323" s="214"/>
      <c r="I1323" s="214"/>
      <c r="J1323" s="214"/>
      <c r="K1323" s="214"/>
      <c r="L1323" s="214"/>
      <c r="M1323" s="214"/>
      <c r="N1323" s="214"/>
      <c r="O1323" s="214"/>
      <c r="P1323" s="214"/>
      <c r="Q1323" s="214"/>
      <c r="R1323" s="214"/>
      <c r="S1323" s="214"/>
      <c r="T1323" s="214"/>
      <c r="U1323" s="214"/>
      <c r="V1323" s="214"/>
      <c r="W1323" s="214"/>
      <c r="X1323" s="214"/>
      <c r="Y1323" s="214"/>
      <c r="Z1323" s="214"/>
    </row>
    <row r="1324" ht="15.75" customHeight="1">
      <c r="A1324" s="214"/>
      <c r="B1324" s="214"/>
      <c r="C1324" s="214"/>
      <c r="D1324" s="214"/>
      <c r="E1324" s="214"/>
      <c r="F1324" s="214"/>
      <c r="G1324" s="214"/>
      <c r="H1324" s="214"/>
      <c r="I1324" s="214"/>
      <c r="J1324" s="214"/>
      <c r="K1324" s="214"/>
      <c r="L1324" s="214"/>
      <c r="M1324" s="214"/>
      <c r="N1324" s="214"/>
      <c r="O1324" s="214"/>
      <c r="P1324" s="214"/>
      <c r="Q1324" s="214"/>
      <c r="R1324" s="214"/>
      <c r="S1324" s="214"/>
      <c r="T1324" s="214"/>
      <c r="U1324" s="214"/>
      <c r="V1324" s="214"/>
      <c r="W1324" s="214"/>
      <c r="X1324" s="214"/>
      <c r="Y1324" s="214"/>
      <c r="Z1324" s="214"/>
    </row>
    <row r="1325" ht="15.75" customHeight="1">
      <c r="A1325" s="214"/>
      <c r="B1325" s="214"/>
      <c r="C1325" s="214"/>
      <c r="D1325" s="214"/>
      <c r="E1325" s="214"/>
      <c r="F1325" s="214"/>
      <c r="G1325" s="214"/>
      <c r="H1325" s="214"/>
      <c r="I1325" s="214"/>
      <c r="J1325" s="214"/>
      <c r="K1325" s="214"/>
      <c r="L1325" s="214"/>
      <c r="M1325" s="214"/>
      <c r="N1325" s="214"/>
      <c r="O1325" s="214"/>
      <c r="P1325" s="214"/>
      <c r="Q1325" s="214"/>
      <c r="R1325" s="214"/>
      <c r="S1325" s="214"/>
      <c r="T1325" s="214"/>
      <c r="U1325" s="214"/>
      <c r="V1325" s="214"/>
      <c r="W1325" s="214"/>
      <c r="X1325" s="214"/>
      <c r="Y1325" s="214"/>
      <c r="Z1325" s="214"/>
    </row>
    <row r="1326" ht="15.75" customHeight="1">
      <c r="A1326" s="214"/>
      <c r="B1326" s="214"/>
      <c r="C1326" s="214"/>
      <c r="D1326" s="214"/>
      <c r="E1326" s="214"/>
      <c r="F1326" s="214"/>
      <c r="G1326" s="214"/>
      <c r="H1326" s="214"/>
      <c r="I1326" s="214"/>
      <c r="J1326" s="214"/>
      <c r="K1326" s="214"/>
      <c r="L1326" s="214"/>
      <c r="M1326" s="214"/>
      <c r="N1326" s="214"/>
      <c r="O1326" s="214"/>
      <c r="P1326" s="214"/>
      <c r="Q1326" s="214"/>
      <c r="R1326" s="214"/>
      <c r="S1326" s="214"/>
      <c r="T1326" s="214"/>
      <c r="U1326" s="214"/>
      <c r="V1326" s="214"/>
      <c r="W1326" s="214"/>
      <c r="X1326" s="214"/>
      <c r="Y1326" s="214"/>
      <c r="Z1326" s="214"/>
    </row>
    <row r="1327" ht="15.75" customHeight="1">
      <c r="A1327" s="214"/>
      <c r="B1327" s="214"/>
      <c r="C1327" s="214"/>
      <c r="D1327" s="214"/>
      <c r="E1327" s="214"/>
      <c r="F1327" s="214"/>
      <c r="G1327" s="214"/>
      <c r="H1327" s="214"/>
      <c r="I1327" s="214"/>
      <c r="J1327" s="214"/>
      <c r="K1327" s="214"/>
      <c r="L1327" s="214"/>
      <c r="M1327" s="214"/>
      <c r="N1327" s="214"/>
      <c r="O1327" s="214"/>
      <c r="P1327" s="214"/>
      <c r="Q1327" s="214"/>
      <c r="R1327" s="214"/>
      <c r="S1327" s="214"/>
      <c r="T1327" s="214"/>
      <c r="U1327" s="214"/>
      <c r="V1327" s="214"/>
      <c r="W1327" s="214"/>
      <c r="X1327" s="214"/>
      <c r="Y1327" s="214"/>
      <c r="Z1327" s="214"/>
    </row>
    <row r="1328" ht="15.75" customHeight="1">
      <c r="A1328" s="214"/>
      <c r="B1328" s="214"/>
      <c r="C1328" s="214"/>
      <c r="D1328" s="214"/>
      <c r="E1328" s="214"/>
      <c r="F1328" s="214"/>
      <c r="G1328" s="214"/>
      <c r="H1328" s="214"/>
      <c r="I1328" s="214"/>
      <c r="J1328" s="214"/>
      <c r="K1328" s="214"/>
      <c r="L1328" s="214"/>
      <c r="M1328" s="214"/>
      <c r="N1328" s="214"/>
      <c r="O1328" s="214"/>
      <c r="P1328" s="214"/>
      <c r="Q1328" s="214"/>
      <c r="R1328" s="214"/>
      <c r="S1328" s="214"/>
      <c r="T1328" s="214"/>
      <c r="U1328" s="214"/>
      <c r="V1328" s="214"/>
      <c r="W1328" s="214"/>
      <c r="X1328" s="214"/>
      <c r="Y1328" s="214"/>
      <c r="Z1328" s="214"/>
    </row>
    <row r="1329" ht="15.75" customHeight="1">
      <c r="A1329" s="214"/>
      <c r="B1329" s="214"/>
      <c r="C1329" s="214"/>
      <c r="D1329" s="214"/>
      <c r="E1329" s="214"/>
      <c r="F1329" s="214"/>
      <c r="G1329" s="214"/>
      <c r="H1329" s="214"/>
      <c r="I1329" s="214"/>
      <c r="J1329" s="214"/>
      <c r="K1329" s="214"/>
      <c r="L1329" s="214"/>
      <c r="M1329" s="214"/>
      <c r="N1329" s="214"/>
      <c r="O1329" s="214"/>
      <c r="P1329" s="214"/>
      <c r="Q1329" s="214"/>
      <c r="R1329" s="214"/>
      <c r="S1329" s="214"/>
      <c r="T1329" s="214"/>
      <c r="U1329" s="214"/>
      <c r="V1329" s="214"/>
      <c r="W1329" s="214"/>
      <c r="X1329" s="214"/>
      <c r="Y1329" s="214"/>
      <c r="Z1329" s="214"/>
    </row>
    <row r="1330" ht="15.75" customHeight="1">
      <c r="A1330" s="214"/>
      <c r="B1330" s="214"/>
      <c r="C1330" s="214"/>
      <c r="D1330" s="214"/>
      <c r="E1330" s="214"/>
      <c r="F1330" s="214"/>
      <c r="G1330" s="214"/>
      <c r="H1330" s="214"/>
      <c r="I1330" s="214"/>
      <c r="J1330" s="214"/>
      <c r="K1330" s="214"/>
      <c r="L1330" s="214"/>
      <c r="M1330" s="214"/>
      <c r="N1330" s="214"/>
      <c r="O1330" s="214"/>
      <c r="P1330" s="214"/>
      <c r="Q1330" s="214"/>
      <c r="R1330" s="214"/>
      <c r="S1330" s="214"/>
      <c r="T1330" s="214"/>
      <c r="U1330" s="214"/>
      <c r="V1330" s="214"/>
      <c r="W1330" s="214"/>
      <c r="X1330" s="214"/>
      <c r="Y1330" s="214"/>
      <c r="Z1330" s="214"/>
    </row>
    <row r="1331" ht="15.75" customHeight="1">
      <c r="A1331" s="214"/>
      <c r="B1331" s="214"/>
      <c r="C1331" s="214"/>
      <c r="D1331" s="214"/>
      <c r="E1331" s="214"/>
      <c r="F1331" s="214"/>
      <c r="G1331" s="214"/>
      <c r="H1331" s="214"/>
      <c r="I1331" s="214"/>
      <c r="J1331" s="214"/>
      <c r="K1331" s="214"/>
      <c r="L1331" s="214"/>
      <c r="M1331" s="214"/>
      <c r="N1331" s="214"/>
      <c r="O1331" s="214"/>
      <c r="P1331" s="214"/>
      <c r="Q1331" s="214"/>
      <c r="R1331" s="214"/>
      <c r="S1331" s="214"/>
      <c r="T1331" s="214"/>
      <c r="U1331" s="214"/>
      <c r="V1331" s="214"/>
      <c r="W1331" s="214"/>
      <c r="X1331" s="214"/>
      <c r="Y1331" s="214"/>
      <c r="Z1331" s="214"/>
    </row>
    <row r="1332" ht="15.75" customHeight="1">
      <c r="A1332" s="214"/>
      <c r="B1332" s="214"/>
      <c r="C1332" s="214"/>
      <c r="D1332" s="214"/>
      <c r="E1332" s="214"/>
      <c r="F1332" s="214"/>
      <c r="G1332" s="214"/>
      <c r="H1332" s="214"/>
      <c r="I1332" s="214"/>
      <c r="J1332" s="214"/>
      <c r="K1332" s="214"/>
      <c r="L1332" s="214"/>
      <c r="M1332" s="214"/>
      <c r="N1332" s="214"/>
      <c r="O1332" s="214"/>
      <c r="P1332" s="214"/>
      <c r="Q1332" s="214"/>
      <c r="R1332" s="214"/>
      <c r="S1332" s="214"/>
      <c r="T1332" s="214"/>
      <c r="U1332" s="214"/>
      <c r="V1332" s="214"/>
      <c r="W1332" s="214"/>
      <c r="X1332" s="214"/>
      <c r="Y1332" s="214"/>
      <c r="Z1332" s="214"/>
    </row>
    <row r="1333" ht="15.75" customHeight="1">
      <c r="A1333" s="214"/>
      <c r="B1333" s="214"/>
      <c r="C1333" s="214"/>
      <c r="D1333" s="214"/>
      <c r="E1333" s="214"/>
      <c r="F1333" s="214"/>
      <c r="G1333" s="214"/>
      <c r="H1333" s="214"/>
      <c r="I1333" s="214"/>
      <c r="J1333" s="214"/>
      <c r="K1333" s="214"/>
      <c r="L1333" s="214"/>
      <c r="M1333" s="214"/>
      <c r="N1333" s="214"/>
      <c r="O1333" s="214"/>
      <c r="P1333" s="214"/>
      <c r="Q1333" s="214"/>
      <c r="R1333" s="214"/>
      <c r="S1333" s="214"/>
      <c r="T1333" s="214"/>
      <c r="U1333" s="214"/>
      <c r="V1333" s="214"/>
      <c r="W1333" s="214"/>
      <c r="X1333" s="214"/>
      <c r="Y1333" s="214"/>
      <c r="Z1333" s="214"/>
    </row>
    <row r="1334" ht="15.75" customHeight="1">
      <c r="A1334" s="214"/>
      <c r="B1334" s="214"/>
      <c r="C1334" s="214"/>
      <c r="D1334" s="214"/>
      <c r="E1334" s="214"/>
      <c r="F1334" s="214"/>
      <c r="G1334" s="214"/>
      <c r="H1334" s="214"/>
      <c r="I1334" s="214"/>
      <c r="J1334" s="214"/>
      <c r="K1334" s="214"/>
      <c r="L1334" s="214"/>
      <c r="M1334" s="214"/>
      <c r="N1334" s="214"/>
      <c r="O1334" s="214"/>
      <c r="P1334" s="214"/>
      <c r="Q1334" s="214"/>
      <c r="R1334" s="214"/>
      <c r="S1334" s="214"/>
      <c r="T1334" s="214"/>
      <c r="U1334" s="214"/>
      <c r="V1334" s="214"/>
      <c r="W1334" s="214"/>
      <c r="X1334" s="214"/>
      <c r="Y1334" s="214"/>
      <c r="Z1334" s="214"/>
    </row>
    <row r="1335" ht="15.75" customHeight="1">
      <c r="A1335" s="214"/>
      <c r="B1335" s="214"/>
      <c r="C1335" s="214"/>
      <c r="D1335" s="214"/>
      <c r="E1335" s="214"/>
      <c r="F1335" s="214"/>
      <c r="G1335" s="214"/>
      <c r="H1335" s="214"/>
      <c r="I1335" s="214"/>
      <c r="J1335" s="214"/>
      <c r="K1335" s="214"/>
      <c r="L1335" s="214"/>
      <c r="M1335" s="214"/>
      <c r="N1335" s="214"/>
      <c r="O1335" s="214"/>
      <c r="P1335" s="214"/>
      <c r="Q1335" s="214"/>
      <c r="R1335" s="214"/>
      <c r="S1335" s="214"/>
      <c r="T1335" s="214"/>
      <c r="U1335" s="214"/>
      <c r="V1335" s="214"/>
      <c r="W1335" s="214"/>
      <c r="X1335" s="214"/>
      <c r="Y1335" s="214"/>
      <c r="Z1335" s="214"/>
    </row>
    <row r="1336" ht="15.75" customHeight="1">
      <c r="A1336" s="214"/>
      <c r="B1336" s="214"/>
      <c r="C1336" s="214"/>
      <c r="D1336" s="214"/>
      <c r="E1336" s="214"/>
      <c r="F1336" s="214"/>
      <c r="G1336" s="214"/>
      <c r="H1336" s="214"/>
      <c r="I1336" s="214"/>
      <c r="J1336" s="214"/>
      <c r="K1336" s="214"/>
      <c r="L1336" s="214"/>
      <c r="M1336" s="214"/>
      <c r="N1336" s="214"/>
      <c r="O1336" s="214"/>
      <c r="P1336" s="214"/>
      <c r="Q1336" s="214"/>
      <c r="R1336" s="214"/>
      <c r="S1336" s="214"/>
      <c r="T1336" s="214"/>
      <c r="U1336" s="214"/>
      <c r="V1336" s="214"/>
      <c r="W1336" s="214"/>
      <c r="X1336" s="214"/>
      <c r="Y1336" s="214"/>
      <c r="Z1336" s="214"/>
    </row>
    <row r="1337" ht="15.75" customHeight="1">
      <c r="A1337" s="214"/>
      <c r="B1337" s="214"/>
      <c r="C1337" s="214"/>
      <c r="D1337" s="214"/>
      <c r="E1337" s="214"/>
      <c r="F1337" s="214"/>
      <c r="G1337" s="214"/>
      <c r="H1337" s="214"/>
      <c r="I1337" s="214"/>
      <c r="J1337" s="214"/>
      <c r="K1337" s="214"/>
      <c r="L1337" s="214"/>
      <c r="M1337" s="214"/>
      <c r="N1337" s="214"/>
      <c r="O1337" s="214"/>
      <c r="P1337" s="214"/>
      <c r="Q1337" s="214"/>
      <c r="R1337" s="214"/>
      <c r="S1337" s="214"/>
      <c r="T1337" s="214"/>
      <c r="U1337" s="214"/>
      <c r="V1337" s="214"/>
      <c r="W1337" s="214"/>
      <c r="X1337" s="214"/>
      <c r="Y1337" s="214"/>
      <c r="Z1337" s="214"/>
    </row>
    <row r="1338" ht="15.75" customHeight="1">
      <c r="A1338" s="214"/>
      <c r="B1338" s="214"/>
      <c r="C1338" s="214"/>
      <c r="D1338" s="214"/>
      <c r="E1338" s="214"/>
      <c r="F1338" s="214"/>
      <c r="G1338" s="214"/>
      <c r="H1338" s="214"/>
      <c r="I1338" s="214"/>
      <c r="J1338" s="214"/>
      <c r="K1338" s="214"/>
      <c r="L1338" s="214"/>
      <c r="M1338" s="214"/>
      <c r="N1338" s="214"/>
      <c r="O1338" s="214"/>
      <c r="P1338" s="214"/>
      <c r="Q1338" s="214"/>
      <c r="R1338" s="214"/>
      <c r="S1338" s="214"/>
      <c r="T1338" s="214"/>
      <c r="U1338" s="214"/>
      <c r="V1338" s="214"/>
      <c r="W1338" s="214"/>
      <c r="X1338" s="214"/>
      <c r="Y1338" s="214"/>
      <c r="Z1338" s="214"/>
    </row>
    <row r="1339" ht="15.75" customHeight="1">
      <c r="A1339" s="214"/>
      <c r="B1339" s="214"/>
      <c r="C1339" s="214"/>
      <c r="D1339" s="214"/>
      <c r="E1339" s="214"/>
      <c r="F1339" s="214"/>
      <c r="G1339" s="214"/>
      <c r="H1339" s="214"/>
      <c r="I1339" s="214"/>
      <c r="J1339" s="214"/>
      <c r="K1339" s="214"/>
      <c r="L1339" s="214"/>
      <c r="M1339" s="214"/>
      <c r="N1339" s="214"/>
      <c r="O1339" s="214"/>
      <c r="P1339" s="214"/>
      <c r="Q1339" s="214"/>
      <c r="R1339" s="214"/>
      <c r="S1339" s="214"/>
      <c r="T1339" s="214"/>
      <c r="U1339" s="214"/>
      <c r="V1339" s="214"/>
      <c r="W1339" s="214"/>
      <c r="X1339" s="214"/>
      <c r="Y1339" s="214"/>
      <c r="Z1339" s="214"/>
    </row>
    <row r="1340" ht="15.75" customHeight="1">
      <c r="A1340" s="214"/>
      <c r="B1340" s="214"/>
      <c r="C1340" s="214"/>
      <c r="D1340" s="214"/>
      <c r="E1340" s="214"/>
      <c r="F1340" s="214"/>
      <c r="G1340" s="214"/>
      <c r="H1340" s="214"/>
      <c r="I1340" s="214"/>
      <c r="J1340" s="214"/>
      <c r="K1340" s="214"/>
      <c r="L1340" s="214"/>
      <c r="M1340" s="214"/>
      <c r="N1340" s="214"/>
      <c r="O1340" s="214"/>
      <c r="P1340" s="214"/>
      <c r="Q1340" s="214"/>
      <c r="R1340" s="214"/>
      <c r="S1340" s="214"/>
      <c r="T1340" s="214"/>
      <c r="U1340" s="214"/>
      <c r="V1340" s="214"/>
      <c r="W1340" s="214"/>
      <c r="X1340" s="214"/>
      <c r="Y1340" s="214"/>
      <c r="Z1340" s="214"/>
    </row>
    <row r="1341" ht="15.75" customHeight="1">
      <c r="A1341" s="214"/>
      <c r="B1341" s="214"/>
      <c r="C1341" s="214"/>
      <c r="D1341" s="214"/>
      <c r="E1341" s="214"/>
      <c r="F1341" s="214"/>
      <c r="G1341" s="214"/>
      <c r="H1341" s="214"/>
      <c r="I1341" s="214"/>
      <c r="J1341" s="214"/>
      <c r="K1341" s="214"/>
      <c r="L1341" s="214"/>
      <c r="M1341" s="214"/>
      <c r="N1341" s="214"/>
      <c r="O1341" s="214"/>
      <c r="P1341" s="214"/>
      <c r="Q1341" s="214"/>
      <c r="R1341" s="214"/>
      <c r="S1341" s="214"/>
      <c r="T1341" s="214"/>
      <c r="U1341" s="214"/>
      <c r="V1341" s="214"/>
      <c r="W1341" s="214"/>
      <c r="X1341" s="214"/>
      <c r="Y1341" s="214"/>
      <c r="Z1341" s="214"/>
    </row>
    <row r="1342" ht="15.75" customHeight="1">
      <c r="A1342" s="214"/>
      <c r="B1342" s="214"/>
      <c r="C1342" s="214"/>
      <c r="D1342" s="214"/>
      <c r="E1342" s="214"/>
      <c r="F1342" s="214"/>
      <c r="G1342" s="214"/>
      <c r="H1342" s="214"/>
      <c r="I1342" s="214"/>
      <c r="J1342" s="214"/>
      <c r="K1342" s="214"/>
      <c r="L1342" s="214"/>
      <c r="M1342" s="214"/>
      <c r="N1342" s="214"/>
      <c r="O1342" s="214"/>
      <c r="P1342" s="214"/>
      <c r="Q1342" s="214"/>
      <c r="R1342" s="214"/>
      <c r="S1342" s="214"/>
      <c r="T1342" s="214"/>
      <c r="U1342" s="214"/>
      <c r="V1342" s="214"/>
      <c r="W1342" s="214"/>
      <c r="X1342" s="214"/>
      <c r="Y1342" s="214"/>
      <c r="Z1342" s="214"/>
    </row>
    <row r="1343" ht="15.75" customHeight="1">
      <c r="A1343" s="214"/>
      <c r="B1343" s="214"/>
      <c r="C1343" s="214"/>
      <c r="D1343" s="214"/>
      <c r="E1343" s="214"/>
      <c r="F1343" s="214"/>
      <c r="G1343" s="214"/>
      <c r="H1343" s="214"/>
      <c r="I1343" s="214"/>
      <c r="J1343" s="214"/>
      <c r="K1343" s="214"/>
      <c r="L1343" s="214"/>
      <c r="M1343" s="214"/>
      <c r="N1343" s="214"/>
      <c r="O1343" s="214"/>
      <c r="P1343" s="214"/>
      <c r="Q1343" s="214"/>
      <c r="R1343" s="214"/>
      <c r="S1343" s="214"/>
      <c r="T1343" s="214"/>
      <c r="U1343" s="214"/>
      <c r="V1343" s="214"/>
      <c r="W1343" s="214"/>
      <c r="X1343" s="214"/>
      <c r="Y1343" s="214"/>
      <c r="Z1343" s="214"/>
    </row>
    <row r="1344" ht="15.75" customHeight="1">
      <c r="A1344" s="214"/>
      <c r="B1344" s="214"/>
      <c r="C1344" s="214"/>
      <c r="D1344" s="214"/>
      <c r="E1344" s="214"/>
      <c r="F1344" s="214"/>
      <c r="G1344" s="214"/>
      <c r="H1344" s="214"/>
      <c r="I1344" s="214"/>
      <c r="J1344" s="214"/>
      <c r="K1344" s="214"/>
      <c r="L1344" s="214"/>
      <c r="M1344" s="214"/>
      <c r="N1344" s="214"/>
      <c r="O1344" s="214"/>
      <c r="P1344" s="214"/>
      <c r="Q1344" s="214"/>
      <c r="R1344" s="214"/>
      <c r="S1344" s="214"/>
      <c r="T1344" s="214"/>
      <c r="U1344" s="214"/>
      <c r="V1344" s="214"/>
      <c r="W1344" s="214"/>
      <c r="X1344" s="214"/>
      <c r="Y1344" s="214"/>
      <c r="Z1344" s="214"/>
    </row>
    <row r="1345" ht="15.75" customHeight="1">
      <c r="A1345" s="214"/>
      <c r="B1345" s="214"/>
      <c r="C1345" s="214"/>
      <c r="D1345" s="214"/>
      <c r="E1345" s="214"/>
      <c r="F1345" s="214"/>
      <c r="G1345" s="214"/>
      <c r="H1345" s="214"/>
      <c r="I1345" s="214"/>
      <c r="J1345" s="214"/>
      <c r="K1345" s="214"/>
      <c r="L1345" s="214"/>
      <c r="M1345" s="214"/>
      <c r="N1345" s="214"/>
      <c r="O1345" s="214"/>
      <c r="P1345" s="214"/>
      <c r="Q1345" s="214"/>
      <c r="R1345" s="214"/>
      <c r="S1345" s="214"/>
      <c r="T1345" s="214"/>
      <c r="U1345" s="214"/>
      <c r="V1345" s="214"/>
      <c r="W1345" s="214"/>
      <c r="X1345" s="214"/>
      <c r="Y1345" s="214"/>
      <c r="Z1345" s="214"/>
    </row>
    <row r="1346" ht="15.75" customHeight="1">
      <c r="A1346" s="214"/>
      <c r="B1346" s="214"/>
      <c r="C1346" s="214"/>
      <c r="D1346" s="214"/>
      <c r="E1346" s="214"/>
      <c r="F1346" s="214"/>
      <c r="G1346" s="214"/>
      <c r="H1346" s="214"/>
      <c r="I1346" s="214"/>
      <c r="J1346" s="214"/>
      <c r="K1346" s="214"/>
      <c r="L1346" s="214"/>
      <c r="M1346" s="214"/>
      <c r="N1346" s="214"/>
      <c r="O1346" s="214"/>
      <c r="P1346" s="214"/>
      <c r="Q1346" s="214"/>
      <c r="R1346" s="214"/>
      <c r="S1346" s="214"/>
      <c r="T1346" s="214"/>
      <c r="U1346" s="214"/>
      <c r="V1346" s="214"/>
      <c r="W1346" s="214"/>
      <c r="X1346" s="214"/>
      <c r="Y1346" s="214"/>
      <c r="Z1346" s="214"/>
    </row>
    <row r="1347" ht="15.75" customHeight="1">
      <c r="A1347" s="214"/>
      <c r="B1347" s="214"/>
      <c r="C1347" s="214"/>
      <c r="D1347" s="214"/>
      <c r="E1347" s="214"/>
      <c r="F1347" s="214"/>
      <c r="G1347" s="214"/>
      <c r="H1347" s="214"/>
      <c r="I1347" s="214"/>
      <c r="J1347" s="214"/>
      <c r="K1347" s="214"/>
      <c r="L1347" s="214"/>
      <c r="M1347" s="214"/>
      <c r="N1347" s="214"/>
      <c r="O1347" s="214"/>
      <c r="P1347" s="214"/>
      <c r="Q1347" s="214"/>
      <c r="R1347" s="214"/>
      <c r="S1347" s="214"/>
      <c r="T1347" s="214"/>
      <c r="U1347" s="214"/>
      <c r="V1347" s="214"/>
      <c r="W1347" s="214"/>
      <c r="X1347" s="214"/>
      <c r="Y1347" s="214"/>
      <c r="Z1347" s="214"/>
    </row>
    <row r="1348" ht="15.75" customHeight="1">
      <c r="A1348" s="214"/>
      <c r="B1348" s="214"/>
      <c r="C1348" s="214"/>
      <c r="D1348" s="214"/>
      <c r="E1348" s="214"/>
      <c r="F1348" s="214"/>
      <c r="G1348" s="214"/>
      <c r="H1348" s="214"/>
      <c r="I1348" s="214"/>
      <c r="J1348" s="214"/>
      <c r="K1348" s="214"/>
      <c r="L1348" s="214"/>
      <c r="M1348" s="214"/>
      <c r="N1348" s="214"/>
      <c r="O1348" s="214"/>
      <c r="P1348" s="214"/>
      <c r="Q1348" s="214"/>
      <c r="R1348" s="214"/>
      <c r="S1348" s="214"/>
      <c r="T1348" s="214"/>
      <c r="U1348" s="214"/>
      <c r="V1348" s="214"/>
      <c r="W1348" s="214"/>
      <c r="X1348" s="214"/>
      <c r="Y1348" s="214"/>
      <c r="Z1348" s="214"/>
    </row>
    <row r="1349" ht="15.75" customHeight="1">
      <c r="A1349" s="214"/>
      <c r="B1349" s="214"/>
      <c r="C1349" s="214"/>
      <c r="D1349" s="214"/>
      <c r="E1349" s="214"/>
      <c r="F1349" s="214"/>
      <c r="G1349" s="214"/>
      <c r="H1349" s="214"/>
      <c r="I1349" s="214"/>
      <c r="J1349" s="214"/>
      <c r="K1349" s="214"/>
      <c r="L1349" s="214"/>
      <c r="M1349" s="214"/>
      <c r="N1349" s="214"/>
      <c r="O1349" s="214"/>
      <c r="P1349" s="214"/>
      <c r="Q1349" s="214"/>
      <c r="R1349" s="214"/>
      <c r="S1349" s="214"/>
      <c r="T1349" s="214"/>
      <c r="U1349" s="214"/>
      <c r="V1349" s="214"/>
      <c r="W1349" s="214"/>
      <c r="X1349" s="214"/>
      <c r="Y1349" s="214"/>
      <c r="Z1349" s="214"/>
    </row>
    <row r="1350" ht="15.75" customHeight="1">
      <c r="A1350" s="214"/>
      <c r="B1350" s="214"/>
      <c r="C1350" s="214"/>
      <c r="D1350" s="214"/>
      <c r="E1350" s="214"/>
      <c r="F1350" s="214"/>
      <c r="G1350" s="214"/>
      <c r="H1350" s="214"/>
      <c r="I1350" s="214"/>
      <c r="J1350" s="214"/>
      <c r="K1350" s="214"/>
      <c r="L1350" s="214"/>
      <c r="M1350" s="214"/>
      <c r="N1350" s="214"/>
      <c r="O1350" s="214"/>
      <c r="P1350" s="214"/>
      <c r="Q1350" s="214"/>
      <c r="R1350" s="214"/>
      <c r="S1350" s="214"/>
      <c r="T1350" s="214"/>
      <c r="U1350" s="214"/>
      <c r="V1350" s="214"/>
      <c r="W1350" s="214"/>
      <c r="X1350" s="214"/>
      <c r="Y1350" s="214"/>
      <c r="Z1350" s="214"/>
    </row>
    <row r="1351" ht="15.75" customHeight="1">
      <c r="A1351" s="214"/>
      <c r="B1351" s="214"/>
      <c r="C1351" s="214"/>
      <c r="D1351" s="214"/>
      <c r="E1351" s="214"/>
      <c r="F1351" s="214"/>
      <c r="G1351" s="214"/>
      <c r="H1351" s="214"/>
      <c r="I1351" s="214"/>
      <c r="J1351" s="214"/>
      <c r="K1351" s="214"/>
      <c r="L1351" s="214"/>
      <c r="M1351" s="214"/>
      <c r="N1351" s="214"/>
      <c r="O1351" s="214"/>
      <c r="P1351" s="214"/>
      <c r="Q1351" s="214"/>
      <c r="R1351" s="214"/>
      <c r="S1351" s="214"/>
      <c r="T1351" s="214"/>
      <c r="U1351" s="214"/>
      <c r="V1351" s="214"/>
      <c r="W1351" s="214"/>
      <c r="X1351" s="214"/>
      <c r="Y1351" s="214"/>
      <c r="Z1351" s="214"/>
    </row>
  </sheetData>
  <autoFilter ref="$A$1:$G$1351"/>
  <dataValidations>
    <dataValidation type="list" allowBlank="1" showErrorMessage="1" sqref="E2:E487">
      <formula1>"L1,L2,RTC,YOU"</formula1>
    </dataValidation>
    <dataValidation type="list" allowBlank="1" showErrorMessage="1" sqref="F2:F487">
      <formula1>"INSUMO BAR,UTENSILIO BAR,INSUMO COZ,UTENSILIO COZ,INSUMO LIMP,UTENSILIO LIMP,INSUMO SALÃO,UTENSILIO SALÃO,STAFF COZINHA,SEGURANÇA,ALUGUEL ITENS DIVERSOS,TECNICO DE SOM,UNIFORMES,REPOSIÇÃO INSUMOS,MÚSICOS,TRANSPORTE,MARKETING,SERVIÇO ADICIONAL CLIENTE,CUST"&amp;"OS BÁSICOS,MANUTENÇÃO,SERVIÇOS CONTABEIS,SISTEMA,IMPOSTOS,CUSTOS FINANCEIROS,INVESTIMENTO,TECNICO DE ILUMINAÇÃO,RETIRAR ITENS DE CLIENTE,VALLET,Taxas cartório/documentação,JÁ LANÇADO,BONIFICAÇÃO,NUTRICIONISTA,STAFF LOUÇA,STAFF SERVIÇO,STAFF ESPAÇO,STAFF F"&amp;"AXINA/MONTAGEM,REEMBOLSO CLIENTE"</formula1>
    </dataValidation>
  </dataValidations>
  <printOptions/>
  <pageMargins bottom="0.75" footer="0.0" header="0.0" left="0.7" right="0.7" top="0.75"/>
  <pageSetup scale="70" orientation="portrait"/>
  <drawing r:id="rId1"/>
</worksheet>
</file>